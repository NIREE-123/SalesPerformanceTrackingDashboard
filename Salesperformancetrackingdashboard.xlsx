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ders" sheetId="1" r:id="rId4"/>
    <sheet state="visible" name="Questions" sheetId="2" r:id="rId5"/>
  </sheets>
  <definedNames/>
  <calcPr/>
  <pivotCaches>
    <pivotCache cacheId="0" r:id="rId6"/>
  </pivotCaches>
</workbook>
</file>

<file path=xl/sharedStrings.xml><?xml version="1.0" encoding="utf-8"?>
<sst xmlns="http://schemas.openxmlformats.org/spreadsheetml/2006/main" count="815" uniqueCount="267">
  <si>
    <t>Order ID</t>
  </si>
  <si>
    <t>Order Date</t>
  </si>
  <si>
    <t>Customer Name</t>
  </si>
  <si>
    <t>Region</t>
  </si>
  <si>
    <t>Salesperson Name</t>
  </si>
  <si>
    <t>Product</t>
  </si>
  <si>
    <t>Quantity</t>
  </si>
  <si>
    <t>Unit Price</t>
  </si>
  <si>
    <t>Discount %</t>
  </si>
  <si>
    <t>Payment Status</t>
  </si>
  <si>
    <t xml:space="preserve">Net. Revenue
</t>
  </si>
  <si>
    <t>Revenue</t>
  </si>
  <si>
    <t>Month</t>
  </si>
  <si>
    <t>O005</t>
  </si>
  <si>
    <t>Ramesh K</t>
  </si>
  <si>
    <t>North</t>
  </si>
  <si>
    <t>Srikanth Verma</t>
  </si>
  <si>
    <t>Laptop</t>
  </si>
  <si>
    <t>Pending</t>
  </si>
  <si>
    <t>“Net Revenue and revenue  is calculated only for Paid transactions. Pending/Unpaid orders are left blank as revenue is not realized.”</t>
  </si>
  <si>
    <t>O011</t>
  </si>
  <si>
    <t>Kamal</t>
  </si>
  <si>
    <t>Neha Sharma</t>
  </si>
  <si>
    <t>Desk</t>
  </si>
  <si>
    <t>Paid</t>
  </si>
  <si>
    <t xml:space="preserve">SUM of Net. Revenue
</t>
  </si>
  <si>
    <t>O012</t>
  </si>
  <si>
    <t>Sunil</t>
  </si>
  <si>
    <t>West</t>
  </si>
  <si>
    <t>Rahul Nair</t>
  </si>
  <si>
    <t>Printer</t>
  </si>
  <si>
    <t>O015</t>
  </si>
  <si>
    <t>Suresh</t>
  </si>
  <si>
    <t>South</t>
  </si>
  <si>
    <t>RAHUL NAIR</t>
  </si>
  <si>
    <t>O026</t>
  </si>
  <si>
    <t>Vagdevi</t>
  </si>
  <si>
    <t>O032</t>
  </si>
  <si>
    <t>Arun K</t>
  </si>
  <si>
    <t>East</t>
  </si>
  <si>
    <t>RIYA GUPTA</t>
  </si>
  <si>
    <t>O038</t>
  </si>
  <si>
    <t>Kavita</t>
  </si>
  <si>
    <t>Anita Joseph</t>
  </si>
  <si>
    <t>Office Chair</t>
  </si>
  <si>
    <t>Grand Total</t>
  </si>
  <si>
    <t>O050</t>
  </si>
  <si>
    <t>Suman</t>
  </si>
  <si>
    <t>O052</t>
  </si>
  <si>
    <t>Prashant</t>
  </si>
  <si>
    <t>O059</t>
  </si>
  <si>
    <t>Vikram</t>
  </si>
  <si>
    <t>Total revenue</t>
  </si>
  <si>
    <t>O062</t>
  </si>
  <si>
    <t>Priyanka</t>
  </si>
  <si>
    <t>Order percentage for Unpaid or Pending</t>
  </si>
  <si>
    <t>O068</t>
  </si>
  <si>
    <t>Arjun Reddy</t>
  </si>
  <si>
    <t xml:space="preserve">55000 </t>
  </si>
  <si>
    <t>O074</t>
  </si>
  <si>
    <t>Ritu</t>
  </si>
  <si>
    <t>Product sold montly</t>
  </si>
  <si>
    <t>O075</t>
  </si>
  <si>
    <t>Kunal</t>
  </si>
  <si>
    <t>April</t>
  </si>
  <si>
    <t>February</t>
  </si>
  <si>
    <t>January</t>
  </si>
  <si>
    <t>March</t>
  </si>
  <si>
    <t>O079</t>
  </si>
  <si>
    <t>Aditi</t>
  </si>
  <si>
    <t>O083</t>
  </si>
  <si>
    <t>Pooja</t>
  </si>
  <si>
    <t>O098</t>
  </si>
  <si>
    <t>Vinod</t>
  </si>
  <si>
    <t>Mobile</t>
  </si>
  <si>
    <t>O108</t>
  </si>
  <si>
    <t>O118</t>
  </si>
  <si>
    <t>Dinesh</t>
  </si>
  <si>
    <t>O121</t>
  </si>
  <si>
    <t>O001</t>
  </si>
  <si>
    <t>Megha S</t>
  </si>
  <si>
    <t>O002</t>
  </si>
  <si>
    <t>Naveen</t>
  </si>
  <si>
    <t>O006</t>
  </si>
  <si>
    <t>O010</t>
  </si>
  <si>
    <t xml:space="preserve">
</t>
  </si>
  <si>
    <t>O017</t>
  </si>
  <si>
    <t>Kishore</t>
  </si>
  <si>
    <t>srikanth verma</t>
  </si>
  <si>
    <t>O019</t>
  </si>
  <si>
    <t>Tanvi</t>
  </si>
  <si>
    <t>ANITA JOSEPH</t>
  </si>
  <si>
    <t>correlation on reveune by discount</t>
  </si>
  <si>
    <t>O023</t>
  </si>
  <si>
    <t>Kiran</t>
  </si>
  <si>
    <t>O027</t>
  </si>
  <si>
    <t>Mahesh</t>
  </si>
  <si>
    <t>O030</t>
  </si>
  <si>
    <t>Bhavana</t>
  </si>
  <si>
    <t>O031</t>
  </si>
  <si>
    <t>Ramesh</t>
  </si>
  <si>
    <t>O035</t>
  </si>
  <si>
    <t>Veena Varma</t>
  </si>
  <si>
    <t>O037</t>
  </si>
  <si>
    <t>Prakash</t>
  </si>
  <si>
    <t>O039</t>
  </si>
  <si>
    <t>Ram</t>
  </si>
  <si>
    <t>O043</t>
  </si>
  <si>
    <t>Anita</t>
  </si>
  <si>
    <t>O044</t>
  </si>
  <si>
    <t>Praveen</t>
  </si>
  <si>
    <t>O100</t>
  </si>
  <si>
    <t>Ankit</t>
  </si>
  <si>
    <t>O046</t>
  </si>
  <si>
    <t>Kavya</t>
  </si>
  <si>
    <t>O054</t>
  </si>
  <si>
    <t>Kumar</t>
  </si>
  <si>
    <t>O057</t>
  </si>
  <si>
    <t>O060</t>
  </si>
  <si>
    <t>O063</t>
  </si>
  <si>
    <t>Gaurav</t>
  </si>
  <si>
    <t>O067</t>
  </si>
  <si>
    <t>O069</t>
  </si>
  <si>
    <t>O073</t>
  </si>
  <si>
    <t>Manju S</t>
  </si>
  <si>
    <t>neha sharma</t>
  </si>
  <si>
    <t>Unpaid</t>
  </si>
  <si>
    <t>O076</t>
  </si>
  <si>
    <t>NEHA SHARMA</t>
  </si>
  <si>
    <t>O080</t>
  </si>
  <si>
    <t>Sunaina</t>
  </si>
  <si>
    <t>O082</t>
  </si>
  <si>
    <t>O084</t>
  </si>
  <si>
    <t>Shiv</t>
  </si>
  <si>
    <t>O086</t>
  </si>
  <si>
    <t>O088</t>
  </si>
  <si>
    <t>Deepak</t>
  </si>
  <si>
    <t>O090</t>
  </si>
  <si>
    <t>Ragini</t>
  </si>
  <si>
    <t>O092</t>
  </si>
  <si>
    <t>Santhosh</t>
  </si>
  <si>
    <t>O095</t>
  </si>
  <si>
    <t>Ashok</t>
  </si>
  <si>
    <t>O097</t>
  </si>
  <si>
    <t>Bhavya</t>
  </si>
  <si>
    <t>O104</t>
  </si>
  <si>
    <t>O105</t>
  </si>
  <si>
    <t>O109</t>
  </si>
  <si>
    <t>Tejaswini</t>
  </si>
  <si>
    <t>O110</t>
  </si>
  <si>
    <t>O113</t>
  </si>
  <si>
    <t>O114</t>
  </si>
  <si>
    <t>Pradeep</t>
  </si>
  <si>
    <t>O117</t>
  </si>
  <si>
    <t xml:space="preserve">21-Apr-2025 </t>
  </si>
  <si>
    <t>O122</t>
  </si>
  <si>
    <t xml:space="preserve">22-Feb-2025 </t>
  </si>
  <si>
    <t>NoteDate</t>
  </si>
  <si>
    <t>O124</t>
  </si>
  <si>
    <t>Gita</t>
  </si>
  <si>
    <t>O007</t>
  </si>
  <si>
    <t>Priya</t>
  </si>
  <si>
    <t>O009</t>
  </si>
  <si>
    <t>O016</t>
  </si>
  <si>
    <t>O021</t>
  </si>
  <si>
    <t>Neetu</t>
  </si>
  <si>
    <t>O024</t>
  </si>
  <si>
    <t>O028</t>
  </si>
  <si>
    <t>Shalini S</t>
  </si>
  <si>
    <t>O033</t>
  </si>
  <si>
    <t>Sameer</t>
  </si>
  <si>
    <t>O036</t>
  </si>
  <si>
    <t>Sunita</t>
  </si>
  <si>
    <t>O041</t>
  </si>
  <si>
    <t>Maya</t>
  </si>
  <si>
    <t>O048</t>
  </si>
  <si>
    <t>Meena</t>
  </si>
  <si>
    <t>O058</t>
  </si>
  <si>
    <t>O061</t>
  </si>
  <si>
    <t>Rohit</t>
  </si>
  <si>
    <t>O064</t>
  </si>
  <si>
    <t>Rekha</t>
  </si>
  <si>
    <t>O070</t>
  </si>
  <si>
    <t>Jagdish</t>
  </si>
  <si>
    <t>O077</t>
  </si>
  <si>
    <t xml:space="preserve">19-Feb-2025  </t>
  </si>
  <si>
    <t>Shweta</t>
  </si>
  <si>
    <t>O085</t>
  </si>
  <si>
    <t>Ananya</t>
  </si>
  <si>
    <t>O087</t>
  </si>
  <si>
    <t>Pranav</t>
  </si>
  <si>
    <t>O091</t>
  </si>
  <si>
    <t>Nikita</t>
  </si>
  <si>
    <t>O094</t>
  </si>
  <si>
    <t>O101</t>
  </si>
  <si>
    <t>Sahil</t>
  </si>
  <si>
    <t>O112</t>
  </si>
  <si>
    <t>O107</t>
  </si>
  <si>
    <t>O116</t>
  </si>
  <si>
    <t>O120</t>
  </si>
  <si>
    <t>O123</t>
  </si>
  <si>
    <t>O008</t>
  </si>
  <si>
    <t>Deepa Menon</t>
  </si>
  <si>
    <t>O020</t>
  </si>
  <si>
    <t>O022</t>
  </si>
  <si>
    <t>O034</t>
  </si>
  <si>
    <t>Asha</t>
  </si>
  <si>
    <t>O040</t>
  </si>
  <si>
    <t>Anil</t>
  </si>
  <si>
    <t>O045</t>
  </si>
  <si>
    <t>O056</t>
  </si>
  <si>
    <t>O065</t>
  </si>
  <si>
    <t>O071</t>
  </si>
  <si>
    <t>O078</t>
  </si>
  <si>
    <t>O089</t>
  </si>
  <si>
    <t>O115</t>
  </si>
  <si>
    <t>₹ 18000</t>
  </si>
  <si>
    <t>O093</t>
  </si>
  <si>
    <t>O099</t>
  </si>
  <si>
    <t>Pratik</t>
  </si>
  <si>
    <t>O102</t>
  </si>
  <si>
    <t>O111</t>
  </si>
  <si>
    <t>Neha</t>
  </si>
  <si>
    <t>O014</t>
  </si>
  <si>
    <t>O025</t>
  </si>
  <si>
    <t>Sakshi</t>
  </si>
  <si>
    <t>O042</t>
  </si>
  <si>
    <t>Jaya</t>
  </si>
  <si>
    <t>O047</t>
  </si>
  <si>
    <t>O051</t>
  </si>
  <si>
    <t>O072</t>
  </si>
  <si>
    <t>Bhavesh</t>
  </si>
  <si>
    <t>O106</t>
  </si>
  <si>
    <t>O119</t>
  </si>
  <si>
    <t>O003</t>
  </si>
  <si>
    <t>O004</t>
  </si>
  <si>
    <t>O013</t>
  </si>
  <si>
    <t>Aditya</t>
  </si>
  <si>
    <t>O049</t>
  </si>
  <si>
    <t>Sandhya</t>
  </si>
  <si>
    <t>O053</t>
  </si>
  <si>
    <t>O055</t>
  </si>
  <si>
    <t>Lakshmi</t>
  </si>
  <si>
    <t>O066</t>
  </si>
  <si>
    <t>Megha</t>
  </si>
  <si>
    <t>O103</t>
  </si>
  <si>
    <t>O125</t>
  </si>
  <si>
    <t>O018</t>
  </si>
  <si>
    <t>Arun Kumar</t>
  </si>
  <si>
    <t>O029</t>
  </si>
  <si>
    <t>O096</t>
  </si>
  <si>
    <t>Questions</t>
  </si>
  <si>
    <t>Answers</t>
  </si>
  <si>
    <t>List 3 issues (anomalies) you found in the dataset and explain how it affects the analysis</t>
  </si>
  <si>
    <t>1. Missing or inconsistent values
Some orders have blank fields, like missing Salesperson (e.g., Order O009), and many rows have blank Net Revenue where status is Pending/Unpaid.
This creates incomplete information for calculating revenue, salesperson performance, or region sales.
Any totals, averages or dashboards will be incorrect because data is not fully available.
It also makes filtering and pivot analysis hard and unreliable.
2. Duplicate Order IDs
Order ID O080 appears twice in the dataset with the same details.
Duplicate entries lead to double counting of revenue and quantity in reports.
Metrics like total sales, product performance and commission become wrong.
Duplicates can also cause confusion in transaction tracking and reporting.
3. Inconsistent format and spelling
There are different formats in dates (e.g., 1/4/2025 vs. 23-Apr-2025) and inconsistent names (e.g., neha sharma, Neha Sharma, NEHA SHARMA).
These create data grouping issues in Power BI/Excel because the system treats them as different entries.
This affects regional/salesperson analysis, dashboards, and KPIs.
Standardizing format is necessary for accurate filtering and aggregation.</t>
  </si>
  <si>
    <r>
      <rPr>
        <rFont val="Cambria"/>
        <color theme="1"/>
      </rPr>
      <t>Fill the “</t>
    </r>
    <r>
      <rPr>
        <rFont val="Cambria"/>
        <b/>
        <color theme="1"/>
      </rPr>
      <t>Net Revenue</t>
    </r>
    <r>
      <rPr>
        <rFont val="Cambria"/>
        <color theme="1"/>
      </rPr>
      <t>” and “</t>
    </r>
    <r>
      <rPr>
        <rFont val="Cambria"/>
        <b/>
        <color theme="1"/>
      </rPr>
      <t>Revenue</t>
    </r>
    <r>
      <rPr>
        <rFont val="Cambria"/>
        <color theme="1"/>
      </rPr>
      <t xml:space="preserve">” columns in the Orders sheet using formulas.
For orders where </t>
    </r>
    <r>
      <rPr>
        <rFont val="Cambria"/>
        <b/>
        <color theme="1"/>
      </rPr>
      <t>Payment Status = Paid</t>
    </r>
    <r>
      <rPr>
        <rFont val="Cambria"/>
        <color theme="1"/>
      </rPr>
      <t xml:space="preserve">:
- </t>
    </r>
    <r>
      <rPr>
        <rFont val="Cambria"/>
        <b/>
        <color theme="1"/>
      </rPr>
      <t>Net Revenue</t>
    </r>
    <r>
      <rPr>
        <rFont val="Cambria"/>
        <color theme="1"/>
      </rPr>
      <t xml:space="preserve"> = Quantity × Unit Price × (1 − Discount%)
- </t>
    </r>
    <r>
      <rPr>
        <rFont val="Cambria"/>
        <b/>
        <color theme="1"/>
      </rPr>
      <t xml:space="preserve">Revenue </t>
    </r>
    <r>
      <rPr>
        <rFont val="Cambria"/>
        <color theme="1"/>
      </rPr>
      <t>= Quantity × Unit Price</t>
    </r>
  </si>
  <si>
    <t xml:space="preserve">"Net Revenue=IF(J2="Paid",G2*H2*(1 - I2/100),"")    Revenue=IF(J2="Paid",G2*H2,"")"
</t>
  </si>
  <si>
    <r>
      <rPr>
        <rFont val="Cambria"/>
        <color rgb="FF000000"/>
      </rPr>
      <t xml:space="preserve">Create a pivot table showing Net Revenue for each Region. </t>
    </r>
    <r>
      <rPr>
        <rFont val="Cambria"/>
        <color rgb="FF000000"/>
      </rPr>
      <t>Mention the Region with highest Net Revenue</t>
    </r>
  </si>
  <si>
    <t>"Pivot shows:
West = 1,858,965
South = 1,312,220
North = 1,329,260
East = 1,104,235
Highest Net Revenue Region = West"</t>
  </si>
  <si>
    <r>
      <rPr>
        <rFont val="Cambria"/>
        <color rgb="FF000000"/>
      </rPr>
      <t xml:space="preserve">Calculate the Total Revenue </t>
    </r>
    <r>
      <rPr>
        <rFont val="Cambria"/>
        <i/>
        <color rgb="FF000000"/>
      </rPr>
      <t>(Answer using formula)</t>
    </r>
  </si>
  <si>
    <t>"Total revenue=sum(L2:L127)"</t>
  </si>
  <si>
    <r>
      <rPr>
        <rFont val="Cambria"/>
        <color rgb="FF000000"/>
      </rPr>
      <t xml:space="preserve">What percentage of total orders are Unpaid or Pending? </t>
    </r>
    <r>
      <rPr>
        <rFont val="Cambria"/>
        <i/>
        <color rgb="FF000000"/>
      </rPr>
      <t>(Answer using formula)</t>
    </r>
  </si>
  <si>
    <t>"Order percentage for Unpaid or Pending=ROUND((COUNTIFS(J:J,"Unpaid")+COUNTIFS(J:J,"Pending"))/COUNTA(A:A)*100,2)"</t>
  </si>
  <si>
    <r>
      <rPr>
        <rFont val="Cambria"/>
        <color rgb="FF000000"/>
      </rPr>
      <t>1. Fill the “</t>
    </r>
    <r>
      <rPr>
        <rFont val="Cambria"/>
        <b/>
        <color rgb="FF000000"/>
      </rPr>
      <t>Month</t>
    </r>
    <r>
      <rPr>
        <rFont val="Cambria"/>
        <color rgb="FF000000"/>
      </rPr>
      <t>” column in the Orders subsheet by extracting the month from the</t>
    </r>
    <r>
      <rPr>
        <rFont val="Cambria"/>
        <b/>
        <color rgb="FF000000"/>
      </rPr>
      <t xml:space="preserve"> Order Date</t>
    </r>
    <r>
      <rPr>
        <rFont val="Cambria"/>
        <color rgb="FF000000"/>
      </rPr>
      <t xml:space="preserve"> using a formula.
2. Insert a new subsheet with name "</t>
    </r>
    <r>
      <rPr>
        <rFont val="Cambria"/>
        <b/>
        <color rgb="FF000000"/>
      </rPr>
      <t>Products sold</t>
    </r>
    <r>
      <rPr>
        <rFont val="Cambria"/>
        <color rgb="FF000000"/>
      </rPr>
      <t xml:space="preserve">" &amp; build a summary table that shows the </t>
    </r>
    <r>
      <rPr>
        <rFont val="Cambria"/>
        <b/>
        <color rgb="FF000000"/>
      </rPr>
      <t xml:space="preserve">total quantity sold for each product, month-wise. </t>
    </r>
    <r>
      <rPr>
        <rFont val="Cambria"/>
        <i/>
        <color rgb="FF000000"/>
      </rPr>
      <t>(Answer using formula, Rearrange columns if required)</t>
    </r>
    <r>
      <rPr>
        <rFont val="Cambria"/>
        <color rgb="FF000000"/>
      </rPr>
      <t xml:space="preserve">
3. Mention which </t>
    </r>
    <r>
      <rPr>
        <rFont val="Cambria"/>
        <b/>
        <color rgb="FF000000"/>
      </rPr>
      <t xml:space="preserve">month </t>
    </r>
    <r>
      <rPr>
        <rFont val="Cambria"/>
        <color rgb="FF000000"/>
      </rPr>
      <t xml:space="preserve">and which </t>
    </r>
    <r>
      <rPr>
        <rFont val="Cambria"/>
        <b/>
        <color rgb="FF000000"/>
      </rPr>
      <t xml:space="preserve">product </t>
    </r>
    <r>
      <rPr>
        <rFont val="Cambria"/>
        <color rgb="FF000000"/>
      </rPr>
      <t xml:space="preserve">recorded the </t>
    </r>
    <r>
      <rPr>
        <rFont val="Cambria"/>
        <b/>
        <color rgb="FF000000"/>
      </rPr>
      <t xml:space="preserve">highest total quantity sold </t>
    </r>
    <r>
      <rPr>
        <rFont val="Cambria"/>
        <color rgb="FF000000"/>
      </rPr>
      <t>based on the summary.</t>
    </r>
  </si>
  <si>
    <t>"=TEXT(B2,"mmmm")
You created the pivot table summary:
Desk = 51
Laptop = 60
Mobile = 145
Office Chair = 42
Printer = 66
Grand Total = 364   
Highest Month = April (128 units)                      ,  ,Highest Product = Mobile (145 units)</t>
  </si>
  <si>
    <t>Determine whether higher discounts lead to higher revenue? Explain your conclusion using supporting numbers or statistics from the data.</t>
  </si>
  <si>
    <t>"correlation on reveune by discount=CORREL(I:I,H:H)
The correlation between discount and revenue is -0.0255, which is very close to zero.
This means there is no meaningful relationship between discount percentage and revenue.
A negative value shows that as discounts increase, revenue tends to decrease slightly, but the effect is extremely weak.
So, giving higher discounts did not generate higher revenue in this dataset.
This suggests that revenue is driven more by quantity sold, product demand, or season, not by discount level."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</si>
</sst>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mm-yyyy"/>
    <numFmt numFmtId="165" formatCode="yyyy-mm-dd"/>
    <numFmt numFmtId="166" formatCode="dd-mmm-yyyy"/>
    <numFmt numFmtId="167" formatCode="M/d/yyyy"/>
  </numFmts>
  <fonts count="6">
    <font>
      <sz val="10.0"/>
      <color rgb="FF000000"/>
      <name val="Arial"/>
      <scheme val="minor"/>
    </font>
    <font>
      <b/>
      <color theme="1"/>
      <name val="Cambria"/>
    </font>
    <font>
      <color theme="1"/>
      <name val="Cambria"/>
    </font>
    <font>
      <color theme="1"/>
      <name val="Arial"/>
      <scheme val="minor"/>
    </font>
    <font>
      <color theme="1"/>
      <name val="Arial"/>
    </font>
    <font>
      <color rgb="FF000000"/>
      <name val="Cambria"/>
    </font>
  </fonts>
  <fills count="4">
    <fill>
      <patternFill patternType="none"/>
    </fill>
    <fill>
      <patternFill patternType="lightGray"/>
    </fill>
    <fill>
      <patternFill patternType="solid">
        <fgColor rgb="FFC9DAF8"/>
        <bgColor rgb="FFC9DAF8"/>
      </patternFill>
    </fill>
    <fill>
      <patternFill patternType="solid">
        <fgColor rgb="FFFFF2CC"/>
        <bgColor rgb="FFFFF2CC"/>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shrinkToFit="0" vertical="bottom" wrapText="0"/>
    </xf>
    <xf borderId="0" fillId="0" fontId="2" numFmtId="164" xfId="0" applyAlignment="1" applyFont="1" applyNumberFormat="1">
      <alignment horizontal="right" shrinkToFit="0" vertical="bottom" wrapText="0"/>
    </xf>
    <xf borderId="0" fillId="0" fontId="2" numFmtId="0" xfId="0" applyAlignment="1" applyFont="1">
      <alignment shrinkToFit="0" vertical="bottom" wrapText="0"/>
    </xf>
    <xf borderId="0" fillId="0" fontId="2" numFmtId="165" xfId="0" applyAlignment="1" applyFont="1" applyNumberFormat="1">
      <alignment shrinkToFit="0" vertical="bottom" wrapText="0"/>
    </xf>
    <xf borderId="0" fillId="0" fontId="2"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horizontal="right" shrinkToFit="0" vertical="bottom" wrapText="0"/>
    </xf>
    <xf borderId="0" fillId="0" fontId="2" numFmtId="0" xfId="0" applyFont="1"/>
    <xf borderId="0" fillId="0" fontId="3" numFmtId="0" xfId="0" applyAlignment="1" applyFont="1">
      <alignment readingOrder="0"/>
    </xf>
    <xf borderId="0" fillId="0" fontId="2" numFmtId="166" xfId="0" applyAlignment="1" applyFont="1" applyNumberFormat="1">
      <alignment horizontal="right" shrinkToFit="0" vertical="bottom" wrapText="0"/>
    </xf>
    <xf borderId="0" fillId="0" fontId="2" numFmtId="0" xfId="0" applyFont="1"/>
    <xf borderId="0" fillId="0" fontId="2" numFmtId="0" xfId="0" applyAlignment="1" applyFont="1">
      <alignment readingOrder="0"/>
    </xf>
    <xf borderId="0" fillId="0" fontId="2" numFmtId="49" xfId="0" applyAlignment="1" applyFont="1" applyNumberFormat="1">
      <alignment shrinkToFit="0" vertical="bottom" wrapText="0"/>
    </xf>
    <xf borderId="0" fillId="0" fontId="2" numFmtId="165" xfId="0" applyFont="1" applyNumberFormat="1"/>
    <xf borderId="0" fillId="0" fontId="2" numFmtId="0" xfId="0" applyAlignment="1" applyFont="1">
      <alignment readingOrder="0" vertical="bottom"/>
    </xf>
    <xf borderId="0" fillId="0" fontId="4" numFmtId="0" xfId="0" applyAlignment="1" applyFont="1">
      <alignment vertical="bottom"/>
    </xf>
    <xf borderId="0" fillId="0" fontId="2" numFmtId="0" xfId="0" applyAlignment="1" applyFont="1">
      <alignment horizontal="right" vertical="bottom"/>
    </xf>
    <xf borderId="0" fillId="0" fontId="2" numFmtId="167" xfId="0" applyAlignment="1" applyFont="1" applyNumberFormat="1">
      <alignment horizontal="right" readingOrder="0" shrinkToFit="0" vertical="bottom" wrapText="0"/>
    </xf>
    <xf borderId="0" fillId="0" fontId="2" numFmtId="0" xfId="0" applyAlignment="1" applyFont="1">
      <alignment shrinkToFit="0" vertical="bottom" wrapText="0"/>
    </xf>
    <xf borderId="0" fillId="2" fontId="1" numFmtId="0" xfId="0" applyAlignment="1" applyFill="1" applyFont="1">
      <alignment horizontal="center" readingOrder="0"/>
    </xf>
    <xf borderId="0" fillId="3" fontId="1" numFmtId="0" xfId="0" applyAlignment="1" applyFill="1" applyFont="1">
      <alignment horizontal="center" readingOrder="0"/>
    </xf>
    <xf borderId="0" fillId="0" fontId="1" numFmtId="0" xfId="0" applyAlignment="1" applyFont="1">
      <alignment horizontal="center" readingOrder="0"/>
    </xf>
    <xf borderId="0" fillId="0" fontId="2"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readingOrder="0"/>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vertical style="thin">
          <color rgb="FFD4D4D4"/>
        </vertical>
        <horizontal style="thin">
          <color rgb="FFD4D4D4"/>
        </horizontal>
      </border>
    </dxf>
  </dxfs>
  <tableStyles count="1">
    <tableStyle count="4" pivot="0" name="order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127" sheet="orders"/>
  </cacheSource>
  <cacheFields>
    <cacheField name="Order ID" numFmtId="0">
      <sharedItems>
        <s v="O005"/>
        <s v="O011"/>
        <s v="O012"/>
        <s v="O015"/>
        <s v="O026"/>
        <s v="O032"/>
        <s v="O038"/>
        <s v="O050"/>
        <s v="O052"/>
        <s v="O059"/>
        <s v="O062"/>
        <s v="O068"/>
        <s v="O074"/>
        <s v="O075"/>
        <s v="O079"/>
        <s v="O083"/>
        <s v="O098"/>
        <s v="O108"/>
        <s v="O118"/>
        <s v="O121"/>
        <s v="O001"/>
        <s v="O002"/>
        <s v="O006"/>
        <s v="O010"/>
        <s v="O017"/>
        <s v="O019"/>
        <s v="O023"/>
        <s v="O027"/>
        <s v="O030"/>
        <s v="O031"/>
        <s v="O035"/>
        <s v="O037"/>
        <s v="O039"/>
        <s v="O043"/>
        <s v="O044"/>
        <s v="O100"/>
        <s v="O046"/>
        <s v="O054"/>
        <s v="O057"/>
        <s v="O060"/>
        <s v="O063"/>
        <s v="O067"/>
        <s v="O069"/>
        <s v="O073"/>
        <s v="O076"/>
        <s v="O080"/>
        <s v="O082"/>
        <s v="O084"/>
        <s v="O086"/>
        <s v="O088"/>
        <s v="O090"/>
        <s v="O092"/>
        <s v="O095"/>
        <s v="O097"/>
        <s v="O104"/>
        <s v="O105"/>
        <s v="O109"/>
        <s v="O110"/>
        <s v="O113"/>
        <s v="O114"/>
        <s v="O117"/>
        <s v="O122"/>
        <s v="O124"/>
        <s v="O007"/>
        <s v="O009"/>
        <s v="O016"/>
        <s v="O021"/>
        <s v="O024"/>
        <s v="O028"/>
        <s v="O033"/>
        <s v="O036"/>
        <s v="O041"/>
        <s v="O048"/>
        <s v="O058"/>
        <s v="O061"/>
        <s v="O064"/>
        <s v="O070"/>
        <s v="O077"/>
        <s v="O085"/>
        <s v="O087"/>
        <s v="O091"/>
        <s v="O094"/>
        <s v="O101"/>
        <s v="O112"/>
        <s v="O107"/>
        <s v="O116"/>
        <s v="O120"/>
        <s v="O123"/>
        <s v="O008"/>
        <s v="O020"/>
        <s v="O022"/>
        <s v="O034"/>
        <s v="O040"/>
        <s v="O045"/>
        <s v="O056"/>
        <s v="O065"/>
        <s v="O071"/>
        <s v="O078"/>
        <s v="O089"/>
        <s v="O115"/>
        <s v="O093"/>
        <s v="O099"/>
        <s v="O102"/>
        <s v="O111"/>
        <s v="O014"/>
        <s v="O025"/>
        <s v="O042"/>
        <s v="O047"/>
        <s v="O051"/>
        <s v="O072"/>
        <s v="O106"/>
        <s v="O119"/>
        <s v="O003"/>
        <s v="O004"/>
        <s v="O013"/>
        <s v="O049"/>
        <s v="O053"/>
        <s v="O055"/>
        <s v="O066"/>
        <s v="O103"/>
        <s v="O125"/>
        <s v="O018"/>
        <s v="O029"/>
        <s v="O096"/>
      </sharedItems>
    </cacheField>
    <cacheField name="Order Date">
      <sharedItems containsDate="1" containsMixedTypes="1">
        <d v="2025-02-20T00:00:00Z"/>
        <d v="2025-04-03T00:00:00Z"/>
        <d v="2025-02-17T00:00:00Z"/>
        <d v="2025-03-08T00:00:00Z"/>
        <d v="2025-03-01T00:00:00Z"/>
        <d v="2025-02-06T00:00:00Z"/>
        <d v="2025-03-05T00:00:00Z"/>
        <d v="2025-04-25T00:00:00Z"/>
        <d v="2025-03-24T00:00:00Z"/>
        <d v="2025-04-15T00:00:00Z"/>
        <d v="2025-03-03T00:00:00Z"/>
        <d v="2025-02-26T00:00:00Z"/>
        <d v="2025-04-08T00:00:00Z"/>
        <d v="2025-03-06T00:00:00Z"/>
        <d v="2025-03-15T00:00:00Z"/>
        <d v="2025-03-02T00:00:00Z"/>
        <d v="2025-03-11T00:00:00Z"/>
        <d v="2025-04-23T00:00:00Z"/>
        <d v="2025-04-28T00:00:00Z"/>
        <d v="2025-02-07T00:00:00Z"/>
        <d v="2025-03-29T00:00:00Z"/>
        <d v="2025-02-11T00:00:00Z"/>
        <d v="2025-02-27T00:00:00Z"/>
        <d v="2025-03-30T00:00:00Z"/>
        <d v="2025-03-16T00:00:00Z"/>
        <d v="2025-04-06T00:00:00Z"/>
        <d v="2025-03-31T00:00:00Z"/>
        <d v="2025-03-19T00:00:00Z"/>
        <d v="2025-02-13T00:00:00Z"/>
        <d v="2025-02-22T00:00:00Z"/>
        <d v="2025-04-07T00:00:00Z"/>
        <d v="2025-03-14T00:00:00Z"/>
        <d v="2025-04-29T00:00:00Z"/>
        <d v="2025-04-21T00:00:00Z"/>
        <d v="2025-03-17T00:00:00Z"/>
        <d v="2025-02-28T00:00:00Z"/>
        <d v="2025-03-09T00:00:00Z"/>
        <d v="2025-02-23T00:00:00Z"/>
        <d v="2025-03-25T00:00:00Z"/>
        <d v="2025-02-05T00:00:00Z"/>
        <d v="2025-03-04T00:00:00Z"/>
        <d v="2025-03-10T00:00:00Z"/>
        <d v="2025-04-09T00:00:00Z"/>
        <d v="2025-02-03T00:00:00Z"/>
        <d v="2025-02-12T00:00:00Z"/>
        <s v="21-Apr-2025 "/>
        <s v="22-Feb-2025 "/>
        <d v="2025-04-11T00:00:00Z"/>
        <d v="2025-02-25T00:00:00Z"/>
        <d v="2025-02-21T00:00:00Z"/>
        <d v="2025-02-24T00:00:00Z"/>
        <d v="2025-02-18T00:00:00Z"/>
        <d v="2025-04-04T00:00:00Z"/>
        <d v="2025-03-22T00:00:00Z"/>
        <d v="2025-04-05T00:00:00Z"/>
        <d v="2025-04-02T00:00:00Z"/>
        <d v="2025-02-16T00:00:00Z"/>
        <s v="19-Feb-2025  "/>
        <d v="2025-04-20T00:00:00Z"/>
        <d v="2025-01-04T00:00:00Z"/>
        <d v="2025-02-15T00:00:00Z"/>
        <d v="2025-04-12T00:00:00Z"/>
        <d v="2025-04-10T00:00:00Z"/>
        <d v="2025-04-01T00:00:00Z"/>
        <d v="2025-04-18T00:00:00Z"/>
        <d v="2025-04-13T00:00:00Z"/>
        <d v="2025-02-14T00:00:00Z"/>
        <d v="2025-03-07T00:00:00Z"/>
        <d v="2025-03-21T00:00:00Z"/>
        <d v="2025-02-08T00:00:00Z"/>
        <d v="2025-04-16T00:00:00Z"/>
      </sharedItems>
    </cacheField>
    <cacheField name="Customer Name" numFmtId="0">
      <sharedItems>
        <s v="Ramesh K"/>
        <s v="Kamal"/>
        <s v="Sunil"/>
        <s v="Suresh"/>
        <s v="Vagdevi"/>
        <s v="Arun K"/>
        <s v="Kavita"/>
        <s v="Suman"/>
        <s v="Prashant"/>
        <s v="Vikram"/>
        <s v="Priyanka"/>
        <s v="Arjun Reddy"/>
        <s v="Ritu"/>
        <s v="Kunal"/>
        <s v="Aditi"/>
        <s v="Pooja"/>
        <s v="Vinod"/>
        <s v="Dinesh"/>
        <s v="Megha S"/>
        <s v="Naveen"/>
        <s v="Anita Joseph"/>
        <s v="Kishore"/>
        <s v="Tanvi"/>
        <s v="Kiran"/>
        <s v="Mahesh"/>
        <s v="Bhavana"/>
        <s v="Ramesh"/>
        <s v="Veena Varma"/>
        <s v="Prakash"/>
        <s v="Ram"/>
        <s v="Anita"/>
        <s v="Praveen"/>
        <s v="Ankit"/>
        <s v="Kavya"/>
        <s v="Kumar"/>
        <s v="Gaurav"/>
        <s v="Manju S"/>
        <s v="Sunaina"/>
        <s v="Shiv"/>
        <s v="Deepak"/>
        <s v="Ragini"/>
        <s v="Santhosh"/>
        <s v="Ashok"/>
        <s v="Bhavya"/>
        <s v="Tejaswini"/>
        <s v="Pradeep"/>
        <s v="Neha Sharma"/>
        <s v="NoteDate"/>
        <s v="Gita"/>
        <s v="Priya"/>
        <s v="Neetu"/>
        <s v="Shalini S"/>
        <s v="Sameer"/>
        <s v="Sunita"/>
        <s v="Maya"/>
        <s v="Meena"/>
        <s v="Rohit"/>
        <s v="Rekha"/>
        <s v="Jagdish"/>
        <s v="Shweta"/>
        <s v="Ananya"/>
        <s v="Pranav"/>
        <s v="Nikita"/>
        <s v="Sahil"/>
        <s v="Deepa Menon"/>
        <s v="Asha"/>
        <s v="Anil"/>
        <s v="Pratik"/>
        <s v="Neha"/>
        <s v="Sakshi"/>
        <s v="Jaya"/>
        <s v="Bhavesh"/>
        <s v="Aditya"/>
        <s v="Sandhya"/>
        <s v="Lakshmi"/>
        <s v="Megha"/>
        <s v="Arun Kumar"/>
      </sharedItems>
    </cacheField>
    <cacheField name="Region" numFmtId="0">
      <sharedItems>
        <s v="North"/>
        <s v="West"/>
        <s v="South"/>
        <s v="East"/>
      </sharedItems>
    </cacheField>
    <cacheField name="Salesperson Name" numFmtId="0">
      <sharedItems containsBlank="1">
        <s v="Srikanth Verma"/>
        <s v="Neha Sharma"/>
        <s v="Rahul Nair"/>
        <s v="RIYA GUPTA"/>
        <s v="Anita Joseph"/>
        <m/>
      </sharedItems>
    </cacheField>
    <cacheField name="Product" numFmtId="165">
      <sharedItems>
        <s v="Laptop"/>
        <s v="Desk"/>
        <s v="Printer"/>
        <s v="Office Chair"/>
        <s v="Mobile"/>
      </sharedItems>
    </cacheField>
    <cacheField name="Quantity" numFmtId="0">
      <sharedItems containsSemiMixedTypes="0" containsString="0" containsNumber="1" containsInteger="1">
        <n v="1.0"/>
        <n v="2.0"/>
        <n v="3.0"/>
        <n v="4.0"/>
        <n v="5.0"/>
        <n v="6.0"/>
        <n v="7.0"/>
      </sharedItems>
    </cacheField>
    <cacheField name="Unit Price">
      <sharedItems containsMixedTypes="1" containsNumber="1" containsInteger="1">
        <n v="55000.0"/>
        <n v="9500.0"/>
        <n v="12000.0"/>
        <n v="7500.0"/>
        <s v="55000 "/>
        <n v="18000.0"/>
        <s v="₹ 18000"/>
      </sharedItems>
    </cacheField>
    <cacheField name="Discount %" numFmtId="0">
      <sharedItems containsSemiMixedTypes="0" containsString="0" containsNumber="1">
        <n v="0.08"/>
        <n v="3.0"/>
        <n v="4.0"/>
        <n v="7.0"/>
        <n v="5.0"/>
        <n v="6.0"/>
        <n v="8.0"/>
        <n v="0.0"/>
        <n v="2.0"/>
        <n v="1.0"/>
      </sharedItems>
    </cacheField>
    <cacheField name="Payment Status" numFmtId="0">
      <sharedItems>
        <s v="Pending"/>
        <s v="Paid"/>
        <s v="Unpaid"/>
      </sharedItems>
    </cacheField>
    <cacheField name="Net. Revenue&#10;">
      <sharedItems containsMixedTypes="1" containsNumber="1">
        <s v=""/>
        <n v="9215.0"/>
        <n v="11520.0"/>
        <n v="51150.0"/>
        <n v="52250.0"/>
        <n v="11640.0"/>
        <n v="7200.0"/>
        <n v="51700.0"/>
        <n v="11400.0"/>
        <n v="7275.0"/>
        <n v="7050.0"/>
        <n v="22800.0"/>
        <n v="14100.0"/>
        <n v="103400.0"/>
        <n v="13800.0"/>
        <n v="17860.0"/>
        <n v="22560.0"/>
        <n v="102300.0"/>
        <n v="104500.0"/>
        <n v="23040.0"/>
        <n v="34200.0"/>
        <n v="34560.0"/>
        <n v="23280.0"/>
        <n v="33840.0"/>
        <n v="14250.0"/>
        <n v="14400.0"/>
        <n v="18050.0"/>
        <n v="34920.0"/>
        <n v="18240.0"/>
        <n v="21375.0"/>
        <n v="26790.0"/>
        <n v="50760.0"/>
        <n v="51300.0"/>
        <n v="27360.0"/>
        <n v="155100.0"/>
        <n v="51840.0"/>
        <n v="156750.0"/>
        <n v="66960.0"/>
        <n v="66240.0"/>
        <n v="67680.0"/>
        <n v="44640.0"/>
        <n v="35340.0"/>
        <n v="45600.0"/>
        <n v="204600.0"/>
        <n v="28800.0"/>
        <n v="35720.0"/>
        <n v="90000.0"/>
        <n v="255749.99999999997"/>
        <n v="87300.0"/>
        <n v="84600.0"/>
        <n v="99360.0"/>
        <n v="102600.0"/>
        <n v="120960.0"/>
        <n v="381150.0"/>
      </sharedItems>
    </cacheField>
    <cacheField name="Revenue">
      <sharedItems containsMixedTypes="1" containsNumber="1" containsInteger="1">
        <s v=""/>
        <n v="9500.0"/>
        <n v="12000.0"/>
        <n v="55000.0"/>
        <n v="7500.0"/>
        <n v="24000.0"/>
        <n v="15000.0"/>
        <n v="110000.0"/>
        <n v="19000.0"/>
        <n v="36000.0"/>
        <n v="22500.0"/>
        <n v="28500.0"/>
        <n v="54000.0"/>
        <n v="165000.0"/>
        <n v="72000.0"/>
        <n v="48000.0"/>
        <n v="38000.0"/>
        <n v="220000.0"/>
        <n v="30000.0"/>
        <n v="90000.0"/>
        <n v="275000.0"/>
        <n v="108000.0"/>
        <n v="126000.0"/>
        <n v="385000.0"/>
      </sharedItems>
    </cacheField>
    <cacheField name="Month" numFmtId="0">
      <sharedItems>
        <s v="February"/>
        <s v="April"/>
        <s v="March"/>
        <s v="January"/>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orders" cacheId="0" dataCaption="" compact="0" compactData="0">
  <location ref="P3:Q8" firstHeaderRow="0" firstDataRow="1" firstDataCol="0" rowPageCount="1" colPageCount="1"/>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Region" axis="axisRow" compact="0" outline="0" multipleItemSelectionAllowed="1" showAll="0" sortType="descending">
      <items>
        <item x="1"/>
        <item x="2"/>
        <item x="0"/>
        <item x="3"/>
        <item t="default"/>
      </items>
    </pivotField>
    <pivotField name="Salesperson Name" compact="0" outline="0" multipleItemSelectionAllowed="1" showAll="0">
      <items>
        <item x="0"/>
        <item x="1"/>
        <item x="2"/>
        <item x="3"/>
        <item x="4"/>
        <item x="5"/>
        <item t="default"/>
      </items>
    </pivotField>
    <pivotField name="Product" compact="0" numFmtId="165" outline="0" multipleItemSelectionAllowed="1" showAll="0">
      <items>
        <item x="0"/>
        <item x="1"/>
        <item x="2"/>
        <item x="3"/>
        <item x="4"/>
        <item t="default"/>
      </items>
    </pivotField>
    <pivotField name="Quantity" compact="0" outline="0" multipleItemSelectionAllowed="1" showAll="0">
      <items>
        <item x="0"/>
        <item x="1"/>
        <item x="2"/>
        <item x="3"/>
        <item x="4"/>
        <item x="5"/>
        <item x="6"/>
        <item t="default"/>
      </items>
    </pivotField>
    <pivotField name="Unit Price" compact="0" outline="0" multipleItemSelectionAllowed="1" showAll="0">
      <items>
        <item x="0"/>
        <item x="1"/>
        <item x="2"/>
        <item x="3"/>
        <item x="4"/>
        <item x="5"/>
        <item x="6"/>
        <item t="default"/>
      </items>
    </pivotField>
    <pivotField name="Discount %" compact="0" outline="0" multipleItemSelectionAllowed="1" showAll="0">
      <items>
        <item x="0"/>
        <item x="1"/>
        <item x="2"/>
        <item x="3"/>
        <item x="4"/>
        <item x="5"/>
        <item x="6"/>
        <item x="7"/>
        <item x="8"/>
        <item x="9"/>
        <item t="default"/>
      </items>
    </pivotField>
    <pivotField name="Payment Status" axis="axisPage" compact="0" outline="0" multipleItemSelectionAllowed="1" showAll="0">
      <items>
        <item h="1" x="0"/>
        <item x="1"/>
        <item h="1" x="2"/>
        <item t="default"/>
      </items>
    </pivotField>
    <pivotField name="Net. Revenue&#10;"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Month" compact="0" outline="0" multipleItemSelectionAllowed="1" showAll="0">
      <items>
        <item x="0"/>
        <item x="1"/>
        <item x="2"/>
        <item x="3"/>
        <item t="default"/>
      </items>
    </pivotField>
  </pivotFields>
  <rowFields>
    <field x="3"/>
  </rowFields>
  <pageFields>
    <pageField fld="9"/>
  </pageFields>
  <dataFields>
    <dataField name="SUM of Net. Revenue&#10;" fld="10" baseField="0"/>
  </dataFields>
</pivotTableDefinition>
</file>

<file path=xl/pivotTables/pivotTable2.xml><?xml version="1.0" encoding="utf-8"?>
<pivotTableDefinition xmlns="http://schemas.openxmlformats.org/spreadsheetml/2006/main" name="orders 2" cacheId="0" dataCaption="" compact="0" compactData="0">
  <location ref="Q14:V21" firstHeaderRow="0" firstDataRow="1" firstDataCol="1"/>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Region" compact="0" outline="0" multipleItemSelectionAllowed="1" showAll="0">
      <items>
        <item x="0"/>
        <item x="1"/>
        <item x="2"/>
        <item x="3"/>
        <item t="default"/>
      </items>
    </pivotField>
    <pivotField name="Salesperson Name" compact="0" outline="0" multipleItemSelectionAllowed="1" showAll="0">
      <items>
        <item x="0"/>
        <item x="1"/>
        <item x="2"/>
        <item x="3"/>
        <item x="4"/>
        <item x="5"/>
        <item t="default"/>
      </items>
    </pivotField>
    <pivotField name="Product" axis="axisRow" compact="0" numFmtId="165" outline="0" multipleItemSelectionAllowed="1" showAll="0" sortType="ascending">
      <items>
        <item x="1"/>
        <item x="0"/>
        <item x="4"/>
        <item x="3"/>
        <item x="2"/>
        <item t="default"/>
      </items>
    </pivotField>
    <pivotField name="Quantity" dataField="1" compact="0" outline="0" multipleItemSelectionAllowed="1" showAll="0">
      <items>
        <item x="0"/>
        <item x="1"/>
        <item x="2"/>
        <item x="3"/>
        <item x="4"/>
        <item x="5"/>
        <item x="6"/>
        <item t="default"/>
      </items>
    </pivotField>
    <pivotField name="Unit Price" compact="0" outline="0" multipleItemSelectionAllowed="1" showAll="0">
      <items>
        <item x="0"/>
        <item x="1"/>
        <item x="2"/>
        <item x="3"/>
        <item x="4"/>
        <item x="5"/>
        <item x="6"/>
        <item t="default"/>
      </items>
    </pivotField>
    <pivotField name="Discount %" compact="0" outline="0" multipleItemSelectionAllowed="1" showAll="0">
      <items>
        <item x="0"/>
        <item x="1"/>
        <item x="2"/>
        <item x="3"/>
        <item x="4"/>
        <item x="5"/>
        <item x="6"/>
        <item x="7"/>
        <item x="8"/>
        <item x="9"/>
        <item t="default"/>
      </items>
    </pivotField>
    <pivotField name="Payment Status" compact="0" outline="0" multipleItemSelectionAllowed="1" showAll="0">
      <items>
        <item x="0"/>
        <item x="1"/>
        <item x="2"/>
        <item t="default"/>
      </items>
    </pivotField>
    <pivotField name="Net. Revenue&#10;"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Month" axis="axisCol" compact="0" outline="0" multipleItemSelectionAllowed="1" showAll="0" sortType="ascending">
      <items>
        <item x="1"/>
        <item x="0"/>
        <item x="3"/>
        <item x="2"/>
        <item t="default"/>
      </items>
    </pivotField>
  </pivotFields>
  <rowFields>
    <field x="5"/>
  </rowFields>
  <colFields>
    <field x="12"/>
  </colFields>
  <dataFields>
    <dataField name="Product sold montly" fld="6" baseField="0"/>
  </dataFields>
</pivotTableDefinition>
</file>

<file path=xl/tables/table1.xml><?xml version="1.0" encoding="utf-8"?>
<table xmlns="http://schemas.openxmlformats.org/spreadsheetml/2006/main" ref="A1:M127" displayName="Table1" name="Table1" id="1">
  <tableColumns count="13">
    <tableColumn name="Order ID" id="1"/>
    <tableColumn name="Order Date" id="2"/>
    <tableColumn name="Customer Name" id="3"/>
    <tableColumn name="Region" id="4"/>
    <tableColumn name="Salesperson Name" id="5"/>
    <tableColumn name="Product" id="6"/>
    <tableColumn name="Quantity" id="7"/>
    <tableColumn name="Unit Price" id="8"/>
    <tableColumn name="Discount %" id="9"/>
    <tableColumn name="Payment Status" id="10"/>
    <tableColumn name="Net. Revenue_x000a_" id="11"/>
    <tableColumn name="Revenue" id="12"/>
    <tableColumn name="Month" id="13"/>
  </tableColumns>
  <tableStyleInfo name="ord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7.13"/>
    <col customWidth="1" min="4" max="4" width="14.0"/>
    <col customWidth="1" min="5" max="5" width="22.75"/>
    <col customWidth="1" min="6" max="6" width="14.88"/>
    <col customWidth="1" min="7" max="7" width="15.38"/>
    <col customWidth="1" min="8" max="8" width="12.75"/>
    <col customWidth="1" min="9" max="9" width="15.5"/>
    <col customWidth="1" min="10" max="10" width="15.38"/>
    <col customWidth="1" min="11" max="11" width="14.88"/>
    <col customWidth="1" min="12" max="12" width="15.25"/>
    <col customWidth="1" min="15" max="15" width="35.25"/>
    <col customWidth="1" min="17" max="17" width="20.0"/>
    <col customWidth="1" min="18" max="18" width="82.25"/>
  </cols>
  <sheetData>
    <row r="1" ht="22.5" customHeight="1">
      <c r="A1" s="1" t="s">
        <v>0</v>
      </c>
      <c r="B1" s="1" t="s">
        <v>1</v>
      </c>
      <c r="C1" s="2" t="s">
        <v>2</v>
      </c>
      <c r="D1" s="1" t="s">
        <v>3</v>
      </c>
      <c r="E1" s="2" t="s">
        <v>4</v>
      </c>
      <c r="F1" s="1" t="s">
        <v>5</v>
      </c>
      <c r="G1" s="1" t="s">
        <v>6</v>
      </c>
      <c r="H1" s="1" t="s">
        <v>7</v>
      </c>
      <c r="I1" s="1" t="s">
        <v>8</v>
      </c>
      <c r="J1" s="1" t="s">
        <v>9</v>
      </c>
      <c r="K1" s="3" t="s">
        <v>10</v>
      </c>
      <c r="L1" s="2" t="s">
        <v>11</v>
      </c>
      <c r="M1" s="2" t="s">
        <v>12</v>
      </c>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row>
    <row r="2" ht="22.5" customHeight="1">
      <c r="A2" s="5" t="s">
        <v>13</v>
      </c>
      <c r="B2" s="6">
        <v>45708.0</v>
      </c>
      <c r="C2" s="5" t="s">
        <v>14</v>
      </c>
      <c r="D2" s="7" t="s">
        <v>15</v>
      </c>
      <c r="E2" s="7" t="s">
        <v>16</v>
      </c>
      <c r="F2" s="8" t="s">
        <v>17</v>
      </c>
      <c r="G2" s="9">
        <v>1.0</v>
      </c>
      <c r="H2" s="9">
        <v>55000.0</v>
      </c>
      <c r="I2" s="9">
        <v>0.08</v>
      </c>
      <c r="J2" s="10" t="s">
        <v>18</v>
      </c>
      <c r="K2" s="11" t="str">
        <f t="shared" ref="K2:K127" si="1">IF(J2="Paid",G2*H2*(1 - I2/100),"")
</f>
        <v/>
      </c>
      <c r="L2" s="11" t="str">
        <f t="shared" ref="L2:L127" si="2">IF(J2="Paid",G2*H2,"")</f>
        <v/>
      </c>
      <c r="M2" s="12" t="str">
        <f t="shared" ref="M2:M127" si="3">TEXT(B2,"mmmm")</f>
        <v>February</v>
      </c>
      <c r="N2" s="13"/>
      <c r="O2" s="13"/>
      <c r="P2" s="13"/>
      <c r="Q2" s="13"/>
      <c r="R2" s="14" t="s">
        <v>19</v>
      </c>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row>
    <row r="3" ht="22.5" customHeight="1">
      <c r="A3" s="5" t="s">
        <v>20</v>
      </c>
      <c r="B3" s="15">
        <v>45750.0</v>
      </c>
      <c r="C3" s="5" t="s">
        <v>21</v>
      </c>
      <c r="D3" s="7" t="s">
        <v>15</v>
      </c>
      <c r="E3" s="7" t="s">
        <v>22</v>
      </c>
      <c r="F3" s="8" t="s">
        <v>23</v>
      </c>
      <c r="G3" s="9">
        <v>1.0</v>
      </c>
      <c r="H3" s="9">
        <v>9500.0</v>
      </c>
      <c r="I3" s="9">
        <v>3.0</v>
      </c>
      <c r="J3" s="7" t="s">
        <v>24</v>
      </c>
      <c r="K3" s="11">
        <f t="shared" si="1"/>
        <v>9215</v>
      </c>
      <c r="L3" s="11">
        <f t="shared" si="2"/>
        <v>9500</v>
      </c>
      <c r="M3" s="12" t="str">
        <f t="shared" si="3"/>
        <v>April</v>
      </c>
      <c r="N3" s="13"/>
      <c r="O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row>
    <row r="4" ht="22.5" customHeight="1">
      <c r="A4" s="5" t="s">
        <v>26</v>
      </c>
      <c r="B4" s="6">
        <v>45705.0</v>
      </c>
      <c r="C4" s="5" t="s">
        <v>27</v>
      </c>
      <c r="D4" s="7" t="s">
        <v>28</v>
      </c>
      <c r="E4" s="7" t="s">
        <v>29</v>
      </c>
      <c r="F4" s="8" t="s">
        <v>30</v>
      </c>
      <c r="G4" s="9">
        <v>1.0</v>
      </c>
      <c r="H4" s="9">
        <v>12000.0</v>
      </c>
      <c r="I4" s="9">
        <v>4.0</v>
      </c>
      <c r="J4" s="7" t="s">
        <v>24</v>
      </c>
      <c r="K4" s="11">
        <f t="shared" si="1"/>
        <v>11520</v>
      </c>
      <c r="L4" s="11">
        <f t="shared" si="2"/>
        <v>12000</v>
      </c>
      <c r="M4" s="12" t="str">
        <f t="shared" si="3"/>
        <v>February</v>
      </c>
      <c r="N4" s="13"/>
      <c r="O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row>
    <row r="5" ht="22.5" customHeight="1">
      <c r="A5" s="5" t="s">
        <v>31</v>
      </c>
      <c r="B5" s="15">
        <v>45724.0</v>
      </c>
      <c r="C5" s="5" t="s">
        <v>32</v>
      </c>
      <c r="D5" s="7" t="s">
        <v>33</v>
      </c>
      <c r="E5" s="7" t="s">
        <v>34</v>
      </c>
      <c r="F5" s="8" t="s">
        <v>17</v>
      </c>
      <c r="G5" s="9">
        <v>1.0</v>
      </c>
      <c r="H5" s="9">
        <v>55000.0</v>
      </c>
      <c r="I5" s="9">
        <v>7.0</v>
      </c>
      <c r="J5" s="7" t="s">
        <v>24</v>
      </c>
      <c r="K5" s="11">
        <f t="shared" si="1"/>
        <v>51150</v>
      </c>
      <c r="L5" s="11">
        <f t="shared" si="2"/>
        <v>55000</v>
      </c>
      <c r="M5" s="12" t="str">
        <f t="shared" si="3"/>
        <v>March</v>
      </c>
      <c r="N5" s="13"/>
      <c r="O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row>
    <row r="6" ht="22.5" customHeight="1">
      <c r="A6" s="5" t="s">
        <v>35</v>
      </c>
      <c r="B6" s="15">
        <v>45717.0</v>
      </c>
      <c r="C6" s="5" t="s">
        <v>36</v>
      </c>
      <c r="D6" s="7" t="s">
        <v>28</v>
      </c>
      <c r="E6" s="7" t="s">
        <v>22</v>
      </c>
      <c r="F6" s="8" t="s">
        <v>17</v>
      </c>
      <c r="G6" s="9">
        <v>1.0</v>
      </c>
      <c r="H6" s="9">
        <v>55000.0</v>
      </c>
      <c r="I6" s="9">
        <v>5.0</v>
      </c>
      <c r="J6" s="7" t="s">
        <v>24</v>
      </c>
      <c r="K6" s="11">
        <f t="shared" si="1"/>
        <v>52250</v>
      </c>
      <c r="L6" s="11">
        <f t="shared" si="2"/>
        <v>55000</v>
      </c>
      <c r="M6" s="12" t="str">
        <f t="shared" si="3"/>
        <v>March</v>
      </c>
      <c r="N6" s="13"/>
      <c r="O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row>
    <row r="7" ht="22.5" customHeight="1">
      <c r="A7" s="5" t="s">
        <v>37</v>
      </c>
      <c r="B7" s="15">
        <v>45694.0</v>
      </c>
      <c r="C7" s="5" t="s">
        <v>38</v>
      </c>
      <c r="D7" s="7" t="s">
        <v>39</v>
      </c>
      <c r="E7" s="7" t="s">
        <v>40</v>
      </c>
      <c r="F7" s="8" t="s">
        <v>30</v>
      </c>
      <c r="G7" s="9">
        <v>1.0</v>
      </c>
      <c r="H7" s="9">
        <v>12000.0</v>
      </c>
      <c r="I7" s="9">
        <v>3.0</v>
      </c>
      <c r="J7" s="7" t="s">
        <v>24</v>
      </c>
      <c r="K7" s="11">
        <f t="shared" si="1"/>
        <v>11640</v>
      </c>
      <c r="L7" s="11">
        <f t="shared" si="2"/>
        <v>12000</v>
      </c>
      <c r="M7" s="12" t="str">
        <f t="shared" si="3"/>
        <v>February</v>
      </c>
      <c r="N7" s="13"/>
      <c r="O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row>
    <row r="8" ht="22.5" customHeight="1">
      <c r="A8" s="5" t="s">
        <v>41</v>
      </c>
      <c r="B8" s="15">
        <v>45724.0</v>
      </c>
      <c r="C8" s="5" t="s">
        <v>42</v>
      </c>
      <c r="D8" s="7" t="s">
        <v>28</v>
      </c>
      <c r="E8" s="7" t="s">
        <v>43</v>
      </c>
      <c r="F8" s="8" t="s">
        <v>44</v>
      </c>
      <c r="G8" s="9">
        <v>1.0</v>
      </c>
      <c r="H8" s="9">
        <v>7500.0</v>
      </c>
      <c r="I8" s="9">
        <v>4.0</v>
      </c>
      <c r="J8" s="7" t="s">
        <v>24</v>
      </c>
      <c r="K8" s="11">
        <f t="shared" si="1"/>
        <v>7200</v>
      </c>
      <c r="L8" s="11">
        <f t="shared" si="2"/>
        <v>7500</v>
      </c>
      <c r="M8" s="12" t="str">
        <f t="shared" si="3"/>
        <v>March</v>
      </c>
      <c r="N8" s="13"/>
      <c r="O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row>
    <row r="9" ht="22.5" customHeight="1">
      <c r="A9" s="5" t="s">
        <v>46</v>
      </c>
      <c r="B9" s="15">
        <v>45721.0</v>
      </c>
      <c r="C9" s="5" t="s">
        <v>47</v>
      </c>
      <c r="D9" s="7" t="s">
        <v>39</v>
      </c>
      <c r="E9" s="7" t="s">
        <v>43</v>
      </c>
      <c r="F9" s="8" t="s">
        <v>17</v>
      </c>
      <c r="G9" s="9">
        <v>1.0</v>
      </c>
      <c r="H9" s="9">
        <v>55000.0</v>
      </c>
      <c r="I9" s="9">
        <v>6.0</v>
      </c>
      <c r="J9" s="7" t="s">
        <v>24</v>
      </c>
      <c r="K9" s="11">
        <f t="shared" si="1"/>
        <v>51700</v>
      </c>
      <c r="L9" s="11">
        <f t="shared" si="2"/>
        <v>55000</v>
      </c>
      <c r="M9" s="12" t="str">
        <f t="shared" si="3"/>
        <v>March</v>
      </c>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row>
    <row r="10" ht="22.5" customHeight="1">
      <c r="A10" s="5" t="s">
        <v>48</v>
      </c>
      <c r="B10" s="6">
        <v>45772.0</v>
      </c>
      <c r="C10" s="5" t="s">
        <v>49</v>
      </c>
      <c r="D10" s="7" t="s">
        <v>28</v>
      </c>
      <c r="E10" s="7" t="s">
        <v>34</v>
      </c>
      <c r="F10" s="8" t="s">
        <v>30</v>
      </c>
      <c r="G10" s="9">
        <v>1.0</v>
      </c>
      <c r="H10" s="9">
        <v>12000.0</v>
      </c>
      <c r="I10" s="9">
        <v>5.0</v>
      </c>
      <c r="J10" s="7" t="s">
        <v>24</v>
      </c>
      <c r="K10" s="11">
        <f t="shared" si="1"/>
        <v>11400</v>
      </c>
      <c r="L10" s="11">
        <f t="shared" si="2"/>
        <v>12000</v>
      </c>
      <c r="M10" s="12" t="str">
        <f t="shared" si="3"/>
        <v>April</v>
      </c>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row>
    <row r="11" ht="22.5" customHeight="1">
      <c r="A11" s="5" t="s">
        <v>50</v>
      </c>
      <c r="B11" s="6">
        <v>45740.0</v>
      </c>
      <c r="C11" s="5" t="s">
        <v>51</v>
      </c>
      <c r="D11" s="7" t="s">
        <v>39</v>
      </c>
      <c r="E11" s="7" t="s">
        <v>34</v>
      </c>
      <c r="F11" s="8" t="s">
        <v>23</v>
      </c>
      <c r="G11" s="9">
        <v>1.0</v>
      </c>
      <c r="H11" s="9">
        <v>9500.0</v>
      </c>
      <c r="I11" s="9">
        <v>3.0</v>
      </c>
      <c r="J11" s="7" t="s">
        <v>24</v>
      </c>
      <c r="K11" s="11">
        <f t="shared" si="1"/>
        <v>9215</v>
      </c>
      <c r="L11" s="11">
        <f t="shared" si="2"/>
        <v>9500</v>
      </c>
      <c r="M11" s="12" t="str">
        <f t="shared" si="3"/>
        <v>March</v>
      </c>
      <c r="N11" s="13"/>
      <c r="O11" s="17" t="s">
        <v>52</v>
      </c>
      <c r="P11" s="16">
        <f>sum(L2:L127)</f>
        <v>5931000</v>
      </c>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ht="22.5" customHeight="1">
      <c r="A12" s="5" t="s">
        <v>53</v>
      </c>
      <c r="B12" s="6">
        <v>45762.0</v>
      </c>
      <c r="C12" s="5" t="s">
        <v>54</v>
      </c>
      <c r="D12" s="7" t="s">
        <v>28</v>
      </c>
      <c r="E12" s="7" t="s">
        <v>34</v>
      </c>
      <c r="F12" s="8" t="s">
        <v>17</v>
      </c>
      <c r="G12" s="9">
        <v>1.0</v>
      </c>
      <c r="H12" s="9">
        <v>55000.0</v>
      </c>
      <c r="I12" s="9">
        <v>6.0</v>
      </c>
      <c r="J12" s="7" t="s">
        <v>24</v>
      </c>
      <c r="K12" s="11">
        <f t="shared" si="1"/>
        <v>51700</v>
      </c>
      <c r="L12" s="11">
        <f t="shared" si="2"/>
        <v>55000</v>
      </c>
      <c r="M12" s="12" t="str">
        <f t="shared" si="3"/>
        <v>April</v>
      </c>
      <c r="N12" s="13"/>
      <c r="O12" s="17" t="s">
        <v>55</v>
      </c>
      <c r="P12" s="13">
        <f>ROUND((COUNTIFS(J:J,"Unpaid")+COUNTIFS(J:J,"Pending"))/COUNTA(A:A)*100,2)
</f>
        <v>14.17</v>
      </c>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row>
    <row r="13" ht="22.5" customHeight="1">
      <c r="A13" s="5" t="s">
        <v>56</v>
      </c>
      <c r="B13" s="15">
        <v>45719.0</v>
      </c>
      <c r="C13" s="5" t="s">
        <v>57</v>
      </c>
      <c r="D13" s="7" t="s">
        <v>33</v>
      </c>
      <c r="E13" s="7" t="s">
        <v>34</v>
      </c>
      <c r="F13" s="8" t="s">
        <v>17</v>
      </c>
      <c r="G13" s="9">
        <v>1.0</v>
      </c>
      <c r="H13" s="18" t="s">
        <v>58</v>
      </c>
      <c r="I13" s="9">
        <v>6.0</v>
      </c>
      <c r="J13" s="7" t="s">
        <v>24</v>
      </c>
      <c r="K13" s="11">
        <f t="shared" si="1"/>
        <v>51700</v>
      </c>
      <c r="L13" s="11">
        <f t="shared" si="2"/>
        <v>55000</v>
      </c>
      <c r="M13" s="12" t="str">
        <f t="shared" si="3"/>
        <v>March</v>
      </c>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row>
    <row r="14" ht="22.5" customHeight="1">
      <c r="A14" s="5" t="s">
        <v>59</v>
      </c>
      <c r="B14" s="6">
        <v>45714.0</v>
      </c>
      <c r="C14" s="5" t="s">
        <v>60</v>
      </c>
      <c r="D14" s="7" t="s">
        <v>33</v>
      </c>
      <c r="E14" s="7" t="s">
        <v>16</v>
      </c>
      <c r="F14" s="8" t="s">
        <v>44</v>
      </c>
      <c r="G14" s="9">
        <v>1.0</v>
      </c>
      <c r="H14" s="9">
        <v>7500.0</v>
      </c>
      <c r="I14" s="9">
        <v>3.0</v>
      </c>
      <c r="J14" s="7" t="s">
        <v>24</v>
      </c>
      <c r="K14" s="11">
        <f t="shared" si="1"/>
        <v>7275</v>
      </c>
      <c r="L14" s="11">
        <f t="shared" si="2"/>
        <v>7500</v>
      </c>
      <c r="M14" s="12" t="str">
        <f t="shared" si="3"/>
        <v>February</v>
      </c>
      <c r="N14" s="13"/>
      <c r="O14" s="13"/>
      <c r="P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row>
    <row r="15" ht="22.5" customHeight="1">
      <c r="A15" s="5" t="s">
        <v>62</v>
      </c>
      <c r="B15" s="15">
        <v>45755.0</v>
      </c>
      <c r="C15" s="5" t="s">
        <v>63</v>
      </c>
      <c r="D15" s="7" t="s">
        <v>15</v>
      </c>
      <c r="E15" s="7" t="s">
        <v>34</v>
      </c>
      <c r="F15" s="8" t="s">
        <v>30</v>
      </c>
      <c r="G15" s="9">
        <v>1.0</v>
      </c>
      <c r="H15" s="9">
        <v>12000.0</v>
      </c>
      <c r="I15" s="9">
        <v>4.0</v>
      </c>
      <c r="J15" s="7" t="s">
        <v>24</v>
      </c>
      <c r="K15" s="11">
        <f t="shared" si="1"/>
        <v>11520</v>
      </c>
      <c r="L15" s="11">
        <f t="shared" si="2"/>
        <v>12000</v>
      </c>
      <c r="M15" s="12" t="str">
        <f t="shared" si="3"/>
        <v>April</v>
      </c>
      <c r="N15" s="13"/>
      <c r="O15" s="13"/>
      <c r="P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row>
    <row r="16" ht="22.5" customHeight="1">
      <c r="A16" s="5" t="s">
        <v>68</v>
      </c>
      <c r="B16" s="6">
        <v>45740.0</v>
      </c>
      <c r="C16" s="5" t="s">
        <v>69</v>
      </c>
      <c r="D16" s="7" t="s">
        <v>15</v>
      </c>
      <c r="E16" s="7" t="s">
        <v>22</v>
      </c>
      <c r="F16" s="8" t="s">
        <v>17</v>
      </c>
      <c r="G16" s="9">
        <v>1.0</v>
      </c>
      <c r="H16" s="9">
        <v>55000.0</v>
      </c>
      <c r="I16" s="9">
        <v>6.0</v>
      </c>
      <c r="J16" s="7" t="s">
        <v>24</v>
      </c>
      <c r="K16" s="11">
        <f t="shared" si="1"/>
        <v>51700</v>
      </c>
      <c r="L16" s="11">
        <f t="shared" si="2"/>
        <v>55000</v>
      </c>
      <c r="M16" s="12" t="str">
        <f t="shared" si="3"/>
        <v>March</v>
      </c>
      <c r="N16" s="13"/>
      <c r="O16" s="13"/>
      <c r="P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row>
    <row r="17" ht="22.5" customHeight="1">
      <c r="A17" s="5" t="s">
        <v>70</v>
      </c>
      <c r="B17" s="15">
        <v>45722.0</v>
      </c>
      <c r="C17" s="5" t="s">
        <v>71</v>
      </c>
      <c r="D17" s="7" t="s">
        <v>28</v>
      </c>
      <c r="E17" s="7" t="s">
        <v>34</v>
      </c>
      <c r="F17" s="8" t="s">
        <v>23</v>
      </c>
      <c r="G17" s="9">
        <v>1.0</v>
      </c>
      <c r="H17" s="9">
        <v>9500.0</v>
      </c>
      <c r="I17" s="9">
        <v>3.0</v>
      </c>
      <c r="J17" s="7" t="s">
        <v>24</v>
      </c>
      <c r="K17" s="11">
        <f t="shared" si="1"/>
        <v>9215</v>
      </c>
      <c r="L17" s="11">
        <f t="shared" si="2"/>
        <v>9500</v>
      </c>
      <c r="M17" s="12" t="str">
        <f t="shared" si="3"/>
        <v>March</v>
      </c>
      <c r="N17" s="13"/>
      <c r="O17" s="13"/>
      <c r="P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row>
    <row r="18" ht="22.5" customHeight="1">
      <c r="A18" s="5" t="s">
        <v>72</v>
      </c>
      <c r="B18" s="6">
        <v>45731.0</v>
      </c>
      <c r="C18" s="5" t="s">
        <v>73</v>
      </c>
      <c r="D18" s="7" t="s">
        <v>33</v>
      </c>
      <c r="E18" s="7" t="s">
        <v>22</v>
      </c>
      <c r="F18" s="8" t="s">
        <v>23</v>
      </c>
      <c r="G18" s="9">
        <v>1.0</v>
      </c>
      <c r="H18" s="9">
        <v>9500.0</v>
      </c>
      <c r="I18" s="9">
        <v>3.0</v>
      </c>
      <c r="J18" s="7" t="s">
        <v>24</v>
      </c>
      <c r="K18" s="11">
        <f t="shared" si="1"/>
        <v>9215</v>
      </c>
      <c r="L18" s="11">
        <f t="shared" si="2"/>
        <v>9500</v>
      </c>
      <c r="M18" s="12" t="str">
        <f t="shared" si="3"/>
        <v>March</v>
      </c>
      <c r="N18" s="13"/>
      <c r="O18" s="13"/>
      <c r="P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row>
    <row r="19" ht="22.5" customHeight="1">
      <c r="A19" s="5" t="s">
        <v>75</v>
      </c>
      <c r="B19" s="6">
        <v>45714.0</v>
      </c>
      <c r="C19" s="5" t="s">
        <v>14</v>
      </c>
      <c r="D19" s="7" t="s">
        <v>15</v>
      </c>
      <c r="E19" s="7" t="s">
        <v>16</v>
      </c>
      <c r="F19" s="8" t="s">
        <v>17</v>
      </c>
      <c r="G19" s="9">
        <v>1.0</v>
      </c>
      <c r="H19" s="9">
        <v>55000.0</v>
      </c>
      <c r="I19" s="9">
        <v>0.08</v>
      </c>
      <c r="J19" s="10" t="s">
        <v>18</v>
      </c>
      <c r="K19" s="11" t="str">
        <f t="shared" si="1"/>
        <v/>
      </c>
      <c r="L19" s="11" t="str">
        <f t="shared" si="2"/>
        <v/>
      </c>
      <c r="M19" s="12" t="str">
        <f t="shared" si="3"/>
        <v>February</v>
      </c>
      <c r="N19" s="13"/>
      <c r="O19" s="13"/>
      <c r="P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row>
    <row r="20" ht="22.5" customHeight="1">
      <c r="A20" s="5" t="s">
        <v>76</v>
      </c>
      <c r="B20" s="15">
        <v>45718.0</v>
      </c>
      <c r="C20" s="5" t="s">
        <v>77</v>
      </c>
      <c r="D20" s="7" t="s">
        <v>15</v>
      </c>
      <c r="E20" s="7" t="s">
        <v>22</v>
      </c>
      <c r="F20" s="8" t="s">
        <v>44</v>
      </c>
      <c r="G20" s="9">
        <v>1.0</v>
      </c>
      <c r="H20" s="9">
        <v>7500.0</v>
      </c>
      <c r="I20" s="9">
        <v>6.0</v>
      </c>
      <c r="J20" s="7" t="s">
        <v>24</v>
      </c>
      <c r="K20" s="11">
        <f t="shared" si="1"/>
        <v>7050</v>
      </c>
      <c r="L20" s="11">
        <f t="shared" si="2"/>
        <v>7500</v>
      </c>
      <c r="M20" s="12" t="str">
        <f t="shared" si="3"/>
        <v>March</v>
      </c>
      <c r="N20" s="13"/>
      <c r="O20" s="13"/>
      <c r="P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row>
    <row r="21" ht="22.5" customHeight="1">
      <c r="A21" s="5" t="s">
        <v>78</v>
      </c>
      <c r="B21" s="6">
        <v>45727.0</v>
      </c>
      <c r="C21" s="5" t="s">
        <v>69</v>
      </c>
      <c r="D21" s="7" t="s">
        <v>28</v>
      </c>
      <c r="E21" s="7" t="s">
        <v>34</v>
      </c>
      <c r="F21" s="8" t="s">
        <v>17</v>
      </c>
      <c r="G21" s="9">
        <v>1.0</v>
      </c>
      <c r="H21" s="9">
        <v>55000.0</v>
      </c>
      <c r="I21" s="9">
        <v>5.0</v>
      </c>
      <c r="J21" s="7" t="s">
        <v>24</v>
      </c>
      <c r="K21" s="11">
        <f t="shared" si="1"/>
        <v>52250</v>
      </c>
      <c r="L21" s="11">
        <f t="shared" si="2"/>
        <v>55000</v>
      </c>
      <c r="M21" s="12" t="str">
        <f t="shared" si="3"/>
        <v>March</v>
      </c>
      <c r="N21" s="13"/>
      <c r="O21" s="13"/>
      <c r="P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row>
    <row r="22" ht="22.5" customHeight="1">
      <c r="A22" s="5" t="s">
        <v>79</v>
      </c>
      <c r="B22" s="6">
        <v>45770.0</v>
      </c>
      <c r="C22" s="5" t="s">
        <v>80</v>
      </c>
      <c r="D22" s="7" t="s">
        <v>33</v>
      </c>
      <c r="E22" s="7" t="s">
        <v>22</v>
      </c>
      <c r="F22" s="8" t="s">
        <v>30</v>
      </c>
      <c r="G22" s="9">
        <v>2.0</v>
      </c>
      <c r="H22" s="9">
        <v>12000.0</v>
      </c>
      <c r="I22" s="9">
        <v>5.0</v>
      </c>
      <c r="J22" s="7" t="s">
        <v>24</v>
      </c>
      <c r="K22" s="11">
        <f t="shared" si="1"/>
        <v>22800</v>
      </c>
      <c r="L22" s="11">
        <f t="shared" si="2"/>
        <v>24000</v>
      </c>
      <c r="M22" s="12" t="str">
        <f t="shared" si="3"/>
        <v>April</v>
      </c>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row>
    <row r="23" ht="22.5" customHeight="1">
      <c r="A23" s="5" t="s">
        <v>81</v>
      </c>
      <c r="B23" s="6">
        <v>45775.0</v>
      </c>
      <c r="C23" s="5" t="s">
        <v>82</v>
      </c>
      <c r="D23" s="7" t="s">
        <v>33</v>
      </c>
      <c r="E23" s="7" t="s">
        <v>40</v>
      </c>
      <c r="F23" s="8" t="s">
        <v>44</v>
      </c>
      <c r="G23" s="9">
        <v>2.0</v>
      </c>
      <c r="H23" s="9">
        <v>7500.0</v>
      </c>
      <c r="I23" s="9">
        <v>6.0</v>
      </c>
      <c r="J23" s="7" t="s">
        <v>24</v>
      </c>
      <c r="K23" s="11">
        <f t="shared" si="1"/>
        <v>14100</v>
      </c>
      <c r="L23" s="11">
        <f t="shared" si="2"/>
        <v>15000</v>
      </c>
      <c r="M23" s="12" t="str">
        <f t="shared" si="3"/>
        <v>April</v>
      </c>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row>
    <row r="24" ht="22.5" customHeight="1">
      <c r="A24" s="5" t="s">
        <v>83</v>
      </c>
      <c r="B24" s="15">
        <v>45719.0</v>
      </c>
      <c r="C24" s="5" t="s">
        <v>57</v>
      </c>
      <c r="D24" s="7" t="s">
        <v>39</v>
      </c>
      <c r="E24" s="7" t="s">
        <v>43</v>
      </c>
      <c r="F24" s="8" t="s">
        <v>17</v>
      </c>
      <c r="G24" s="9">
        <v>2.0</v>
      </c>
      <c r="H24" s="9">
        <v>55000.0</v>
      </c>
      <c r="I24" s="9">
        <v>6.0</v>
      </c>
      <c r="J24" s="7" t="s">
        <v>24</v>
      </c>
      <c r="K24" s="11">
        <f t="shared" si="1"/>
        <v>103400</v>
      </c>
      <c r="L24" s="11">
        <f t="shared" si="2"/>
        <v>110000</v>
      </c>
      <c r="M24" s="12" t="str">
        <f t="shared" si="3"/>
        <v>March</v>
      </c>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row>
    <row r="25" ht="22.5" customHeight="1">
      <c r="A25" s="5" t="s">
        <v>84</v>
      </c>
      <c r="B25" s="15">
        <v>45695.0</v>
      </c>
      <c r="C25" s="5" t="s">
        <v>43</v>
      </c>
      <c r="D25" s="7" t="s">
        <v>33</v>
      </c>
      <c r="E25" s="7" t="s">
        <v>43</v>
      </c>
      <c r="F25" s="8" t="s">
        <v>44</v>
      </c>
      <c r="G25" s="9">
        <v>2.0</v>
      </c>
      <c r="H25" s="9">
        <v>7500.0</v>
      </c>
      <c r="I25" s="9">
        <v>8.0</v>
      </c>
      <c r="J25" s="7" t="s">
        <v>24</v>
      </c>
      <c r="K25" s="11">
        <f t="shared" si="1"/>
        <v>13800</v>
      </c>
      <c r="L25" s="11">
        <f t="shared" si="2"/>
        <v>15000</v>
      </c>
      <c r="M25" s="12" t="str">
        <f t="shared" si="3"/>
        <v>February</v>
      </c>
      <c r="N25" s="13"/>
      <c r="O25" s="13"/>
      <c r="P25" s="13"/>
      <c r="Q25" s="17" t="s">
        <v>85</v>
      </c>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row>
    <row r="26" ht="22.5" customHeight="1">
      <c r="A26" s="5" t="s">
        <v>86</v>
      </c>
      <c r="B26" s="6">
        <v>45745.0</v>
      </c>
      <c r="C26" s="5" t="s">
        <v>87</v>
      </c>
      <c r="D26" s="7" t="s">
        <v>39</v>
      </c>
      <c r="E26" s="7" t="s">
        <v>88</v>
      </c>
      <c r="F26" s="8" t="s">
        <v>23</v>
      </c>
      <c r="G26" s="9">
        <v>2.0</v>
      </c>
      <c r="H26" s="9">
        <v>9500.0</v>
      </c>
      <c r="I26" s="9">
        <v>6.0</v>
      </c>
      <c r="J26" s="7" t="s">
        <v>24</v>
      </c>
      <c r="K26" s="11">
        <f t="shared" si="1"/>
        <v>17860</v>
      </c>
      <c r="L26" s="11">
        <f t="shared" si="2"/>
        <v>19000</v>
      </c>
      <c r="M26" s="12" t="str">
        <f t="shared" si="3"/>
        <v>March</v>
      </c>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row>
    <row r="27" ht="22.5" customHeight="1">
      <c r="A27" s="5" t="s">
        <v>89</v>
      </c>
      <c r="B27" s="15">
        <v>45721.0</v>
      </c>
      <c r="C27" s="5" t="s">
        <v>90</v>
      </c>
      <c r="D27" s="7" t="s">
        <v>33</v>
      </c>
      <c r="E27" s="7" t="s">
        <v>91</v>
      </c>
      <c r="F27" s="8" t="s">
        <v>30</v>
      </c>
      <c r="G27" s="9">
        <v>2.0</v>
      </c>
      <c r="H27" s="9">
        <v>12000.0</v>
      </c>
      <c r="I27" s="9">
        <v>5.0</v>
      </c>
      <c r="J27" s="7" t="s">
        <v>24</v>
      </c>
      <c r="K27" s="11">
        <f t="shared" si="1"/>
        <v>22800</v>
      </c>
      <c r="L27" s="11">
        <f t="shared" si="2"/>
        <v>24000</v>
      </c>
      <c r="M27" s="12" t="str">
        <f t="shared" si="3"/>
        <v>March</v>
      </c>
      <c r="N27" s="13"/>
      <c r="O27" s="13"/>
      <c r="P27" s="17"/>
      <c r="Q27" s="13"/>
      <c r="R27" s="20" t="s">
        <v>92</v>
      </c>
      <c r="S27" s="21">
        <f>CORREL(I:I,H:H)</f>
        <v>-0.0255390447</v>
      </c>
      <c r="T27" s="22"/>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row>
    <row r="28" ht="22.5" customHeight="1">
      <c r="A28" s="5" t="s">
        <v>93</v>
      </c>
      <c r="B28" s="6">
        <v>45762.0</v>
      </c>
      <c r="C28" s="5" t="s">
        <v>94</v>
      </c>
      <c r="D28" s="7" t="s">
        <v>39</v>
      </c>
      <c r="E28" s="7" t="s">
        <v>22</v>
      </c>
      <c r="F28" s="8" t="s">
        <v>30</v>
      </c>
      <c r="G28" s="9">
        <v>2.0</v>
      </c>
      <c r="H28" s="9">
        <v>12000.0</v>
      </c>
      <c r="I28" s="9">
        <v>5.0</v>
      </c>
      <c r="J28" s="7" t="s">
        <v>24</v>
      </c>
      <c r="K28" s="11">
        <f t="shared" si="1"/>
        <v>22800</v>
      </c>
      <c r="L28" s="11">
        <f t="shared" si="2"/>
        <v>24000</v>
      </c>
      <c r="M28" s="12" t="str">
        <f t="shared" si="3"/>
        <v>April</v>
      </c>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row>
    <row r="29" ht="22.5" customHeight="1">
      <c r="A29" s="5" t="s">
        <v>95</v>
      </c>
      <c r="B29" s="6">
        <v>45699.0</v>
      </c>
      <c r="C29" s="5" t="s">
        <v>96</v>
      </c>
      <c r="D29" s="7" t="s">
        <v>39</v>
      </c>
      <c r="E29" s="7" t="s">
        <v>88</v>
      </c>
      <c r="F29" s="8" t="s">
        <v>23</v>
      </c>
      <c r="G29" s="9">
        <v>2.0</v>
      </c>
      <c r="H29" s="9">
        <v>9500.0</v>
      </c>
      <c r="I29" s="9">
        <v>6.0</v>
      </c>
      <c r="J29" s="7" t="s">
        <v>24</v>
      </c>
      <c r="K29" s="11">
        <f t="shared" si="1"/>
        <v>17860</v>
      </c>
      <c r="L29" s="11">
        <f t="shared" si="2"/>
        <v>19000</v>
      </c>
      <c r="M29" s="12" t="str">
        <f t="shared" si="3"/>
        <v>February</v>
      </c>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row>
    <row r="30" ht="22.5" customHeight="1">
      <c r="A30" s="5" t="s">
        <v>97</v>
      </c>
      <c r="B30" s="6">
        <v>45715.0</v>
      </c>
      <c r="C30" s="5" t="s">
        <v>98</v>
      </c>
      <c r="D30" s="7" t="s">
        <v>28</v>
      </c>
      <c r="E30" s="7" t="s">
        <v>22</v>
      </c>
      <c r="F30" s="8" t="s">
        <v>44</v>
      </c>
      <c r="G30" s="9">
        <v>2.0</v>
      </c>
      <c r="H30" s="9">
        <v>7500.0</v>
      </c>
      <c r="I30" s="9">
        <v>6.0</v>
      </c>
      <c r="J30" s="7" t="s">
        <v>24</v>
      </c>
      <c r="K30" s="11">
        <f t="shared" si="1"/>
        <v>14100</v>
      </c>
      <c r="L30" s="11">
        <f t="shared" si="2"/>
        <v>15000</v>
      </c>
      <c r="M30" s="12" t="str">
        <f t="shared" si="3"/>
        <v>February</v>
      </c>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row>
    <row r="31" ht="22.5" customHeight="1">
      <c r="A31" s="5" t="s">
        <v>99</v>
      </c>
      <c r="B31" s="6">
        <v>45746.0</v>
      </c>
      <c r="C31" s="5" t="s">
        <v>100</v>
      </c>
      <c r="D31" s="7" t="s">
        <v>33</v>
      </c>
      <c r="E31" s="7" t="s">
        <v>34</v>
      </c>
      <c r="F31" s="8" t="s">
        <v>17</v>
      </c>
      <c r="G31" s="9">
        <v>2.0</v>
      </c>
      <c r="H31" s="9">
        <v>55000.0</v>
      </c>
      <c r="I31" s="9">
        <v>6.0</v>
      </c>
      <c r="J31" s="7" t="s">
        <v>24</v>
      </c>
      <c r="K31" s="11">
        <f t="shared" si="1"/>
        <v>103400</v>
      </c>
      <c r="L31" s="11">
        <f t="shared" si="2"/>
        <v>110000</v>
      </c>
      <c r="M31" s="12" t="str">
        <f t="shared" si="3"/>
        <v>March</v>
      </c>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row>
    <row r="32" ht="22.5" customHeight="1">
      <c r="A32" s="5" t="s">
        <v>101</v>
      </c>
      <c r="B32" s="6">
        <v>45732.0</v>
      </c>
      <c r="C32" s="5" t="s">
        <v>102</v>
      </c>
      <c r="D32" s="7" t="s">
        <v>15</v>
      </c>
      <c r="E32" s="7" t="s">
        <v>22</v>
      </c>
      <c r="F32" s="8" t="s">
        <v>30</v>
      </c>
      <c r="G32" s="9">
        <v>2.0</v>
      </c>
      <c r="H32" s="9">
        <v>12000.0</v>
      </c>
      <c r="I32" s="9">
        <v>6.0</v>
      </c>
      <c r="J32" s="7" t="s">
        <v>24</v>
      </c>
      <c r="K32" s="11">
        <f t="shared" si="1"/>
        <v>22560</v>
      </c>
      <c r="L32" s="11">
        <f t="shared" si="2"/>
        <v>24000</v>
      </c>
      <c r="M32" s="12" t="str">
        <f t="shared" si="3"/>
        <v>March</v>
      </c>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row>
    <row r="33" ht="22.5" customHeight="1">
      <c r="A33" s="5" t="s">
        <v>103</v>
      </c>
      <c r="B33" s="6">
        <v>45714.0</v>
      </c>
      <c r="C33" s="5" t="s">
        <v>104</v>
      </c>
      <c r="D33" s="7" t="s">
        <v>33</v>
      </c>
      <c r="E33" s="7" t="s">
        <v>22</v>
      </c>
      <c r="F33" s="8" t="s">
        <v>17</v>
      </c>
      <c r="G33" s="9">
        <v>2.0</v>
      </c>
      <c r="H33" s="9">
        <v>55000.0</v>
      </c>
      <c r="I33" s="9">
        <v>7.0</v>
      </c>
      <c r="J33" s="7" t="s">
        <v>24</v>
      </c>
      <c r="K33" s="11">
        <f t="shared" si="1"/>
        <v>102300</v>
      </c>
      <c r="L33" s="11">
        <f t="shared" si="2"/>
        <v>110000</v>
      </c>
      <c r="M33" s="12" t="str">
        <f t="shared" si="3"/>
        <v>February</v>
      </c>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row>
    <row r="34" ht="22.5" customHeight="1">
      <c r="A34" s="5" t="s">
        <v>105</v>
      </c>
      <c r="B34" s="6">
        <v>45705.0</v>
      </c>
      <c r="C34" s="5" t="s">
        <v>106</v>
      </c>
      <c r="D34" s="7" t="s">
        <v>15</v>
      </c>
      <c r="E34" s="7" t="s">
        <v>40</v>
      </c>
      <c r="F34" s="8" t="s">
        <v>23</v>
      </c>
      <c r="G34" s="9">
        <v>2.0</v>
      </c>
      <c r="H34" s="9">
        <v>9500.0</v>
      </c>
      <c r="I34" s="9">
        <v>3.0</v>
      </c>
      <c r="J34" s="7" t="s">
        <v>18</v>
      </c>
      <c r="K34" s="11" t="str">
        <f t="shared" si="1"/>
        <v/>
      </c>
      <c r="L34" s="11" t="str">
        <f t="shared" si="2"/>
        <v/>
      </c>
      <c r="M34" s="12" t="str">
        <f t="shared" si="3"/>
        <v>February</v>
      </c>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row>
    <row r="35" ht="22.5" customHeight="1">
      <c r="A35" s="5" t="s">
        <v>107</v>
      </c>
      <c r="B35" s="6">
        <v>45745.0</v>
      </c>
      <c r="C35" s="5" t="s">
        <v>108</v>
      </c>
      <c r="D35" s="7" t="s">
        <v>15</v>
      </c>
      <c r="E35" s="7" t="s">
        <v>16</v>
      </c>
      <c r="F35" s="8" t="s">
        <v>17</v>
      </c>
      <c r="G35" s="9">
        <v>2.0</v>
      </c>
      <c r="H35" s="9">
        <v>55000.0</v>
      </c>
      <c r="I35" s="9">
        <v>5.0</v>
      </c>
      <c r="J35" s="7" t="s">
        <v>24</v>
      </c>
      <c r="K35" s="11">
        <f t="shared" si="1"/>
        <v>104500</v>
      </c>
      <c r="L35" s="11">
        <f t="shared" si="2"/>
        <v>110000</v>
      </c>
      <c r="M35" s="12" t="str">
        <f t="shared" si="3"/>
        <v>March</v>
      </c>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row>
    <row r="36" ht="22.5" customHeight="1">
      <c r="A36" s="5" t="s">
        <v>109</v>
      </c>
      <c r="B36" s="15">
        <v>45753.0</v>
      </c>
      <c r="C36" s="5" t="s">
        <v>110</v>
      </c>
      <c r="D36" s="7" t="s">
        <v>33</v>
      </c>
      <c r="E36" s="7" t="s">
        <v>91</v>
      </c>
      <c r="F36" s="8" t="s">
        <v>44</v>
      </c>
      <c r="G36" s="9">
        <v>2.0</v>
      </c>
      <c r="H36" s="9">
        <v>7500.0</v>
      </c>
      <c r="I36" s="9">
        <v>6.0</v>
      </c>
      <c r="J36" s="10" t="s">
        <v>24</v>
      </c>
      <c r="K36" s="11">
        <f t="shared" si="1"/>
        <v>14100</v>
      </c>
      <c r="L36" s="11">
        <f t="shared" si="2"/>
        <v>15000</v>
      </c>
      <c r="M36" s="12" t="str">
        <f t="shared" si="3"/>
        <v>April</v>
      </c>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row>
    <row r="37" ht="22.5" customHeight="1">
      <c r="A37" s="5" t="s">
        <v>111</v>
      </c>
      <c r="B37" s="6">
        <v>45715.0</v>
      </c>
      <c r="C37" s="5" t="s">
        <v>112</v>
      </c>
      <c r="D37" s="7" t="s">
        <v>28</v>
      </c>
      <c r="E37" s="7" t="s">
        <v>34</v>
      </c>
      <c r="F37" s="8" t="s">
        <v>30</v>
      </c>
      <c r="G37" s="9">
        <v>2.0</v>
      </c>
      <c r="H37" s="9">
        <v>12000.0</v>
      </c>
      <c r="I37" s="9">
        <v>6.0</v>
      </c>
      <c r="J37" s="7" t="s">
        <v>24</v>
      </c>
      <c r="K37" s="11">
        <f t="shared" si="1"/>
        <v>22560</v>
      </c>
      <c r="L37" s="11">
        <f t="shared" si="2"/>
        <v>24000</v>
      </c>
      <c r="M37" s="12" t="str">
        <f t="shared" si="3"/>
        <v>February</v>
      </c>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row>
    <row r="38" ht="22.5" customHeight="1">
      <c r="A38" s="5" t="s">
        <v>113</v>
      </c>
      <c r="B38" s="6">
        <v>45747.0</v>
      </c>
      <c r="C38" s="5" t="s">
        <v>114</v>
      </c>
      <c r="D38" s="7" t="s">
        <v>39</v>
      </c>
      <c r="E38" s="7" t="s">
        <v>22</v>
      </c>
      <c r="F38" s="8" t="s">
        <v>30</v>
      </c>
      <c r="G38" s="9">
        <v>2.0</v>
      </c>
      <c r="H38" s="9">
        <v>12000.0</v>
      </c>
      <c r="I38" s="9">
        <v>5.0</v>
      </c>
      <c r="J38" s="7" t="s">
        <v>24</v>
      </c>
      <c r="K38" s="11">
        <f t="shared" si="1"/>
        <v>22800</v>
      </c>
      <c r="L38" s="11">
        <f t="shared" si="2"/>
        <v>24000</v>
      </c>
      <c r="M38" s="12" t="str">
        <f t="shared" si="3"/>
        <v>March</v>
      </c>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row>
    <row r="39" ht="22.5" customHeight="1">
      <c r="A39" s="5" t="s">
        <v>115</v>
      </c>
      <c r="B39" s="6">
        <v>45735.0</v>
      </c>
      <c r="C39" s="5" t="s">
        <v>116</v>
      </c>
      <c r="D39" s="7" t="s">
        <v>33</v>
      </c>
      <c r="E39" s="7" t="s">
        <v>22</v>
      </c>
      <c r="F39" s="8" t="s">
        <v>23</v>
      </c>
      <c r="G39" s="9">
        <v>2.0</v>
      </c>
      <c r="H39" s="9">
        <v>9500.0</v>
      </c>
      <c r="I39" s="9">
        <v>6.0</v>
      </c>
      <c r="J39" s="7" t="s">
        <v>24</v>
      </c>
      <c r="K39" s="11">
        <f t="shared" si="1"/>
        <v>17860</v>
      </c>
      <c r="L39" s="11">
        <f t="shared" si="2"/>
        <v>19000</v>
      </c>
      <c r="M39" s="12" t="str">
        <f t="shared" si="3"/>
        <v>March</v>
      </c>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row>
    <row r="40" ht="22.5" customHeight="1">
      <c r="A40" s="5" t="s">
        <v>117</v>
      </c>
      <c r="B40" s="6">
        <v>45705.0</v>
      </c>
      <c r="C40" s="5" t="s">
        <v>32</v>
      </c>
      <c r="D40" s="7" t="s">
        <v>33</v>
      </c>
      <c r="E40" s="7" t="s">
        <v>22</v>
      </c>
      <c r="F40" s="8" t="s">
        <v>30</v>
      </c>
      <c r="G40" s="9">
        <v>2.0</v>
      </c>
      <c r="H40" s="9">
        <v>12000.0</v>
      </c>
      <c r="I40" s="9">
        <v>4.0</v>
      </c>
      <c r="J40" s="7" t="s">
        <v>24</v>
      </c>
      <c r="K40" s="11">
        <f t="shared" si="1"/>
        <v>23040</v>
      </c>
      <c r="L40" s="11">
        <f t="shared" si="2"/>
        <v>24000</v>
      </c>
      <c r="M40" s="12" t="str">
        <f t="shared" si="3"/>
        <v>February</v>
      </c>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row>
    <row r="41" ht="22.5" customHeight="1">
      <c r="A41" s="5" t="s">
        <v>118</v>
      </c>
      <c r="B41" s="6">
        <v>45701.0</v>
      </c>
      <c r="C41" s="5" t="s">
        <v>21</v>
      </c>
      <c r="D41" s="7" t="s">
        <v>33</v>
      </c>
      <c r="E41" s="7" t="s">
        <v>22</v>
      </c>
      <c r="F41" s="8" t="s">
        <v>74</v>
      </c>
      <c r="G41" s="9">
        <v>2.0</v>
      </c>
      <c r="H41" s="9">
        <v>18000.0</v>
      </c>
      <c r="I41" s="9">
        <v>5.0</v>
      </c>
      <c r="J41" s="7" t="s">
        <v>24</v>
      </c>
      <c r="K41" s="11">
        <f t="shared" si="1"/>
        <v>34200</v>
      </c>
      <c r="L41" s="11">
        <f t="shared" si="2"/>
        <v>36000</v>
      </c>
      <c r="M41" s="12" t="str">
        <f t="shared" si="3"/>
        <v>February</v>
      </c>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row>
    <row r="42" ht="22.5" customHeight="1">
      <c r="A42" s="5" t="s">
        <v>119</v>
      </c>
      <c r="B42" s="6">
        <v>45715.0</v>
      </c>
      <c r="C42" s="5" t="s">
        <v>120</v>
      </c>
      <c r="D42" s="7" t="s">
        <v>39</v>
      </c>
      <c r="E42" s="7" t="s">
        <v>22</v>
      </c>
      <c r="F42" s="8" t="s">
        <v>74</v>
      </c>
      <c r="G42" s="9">
        <v>2.0</v>
      </c>
      <c r="H42" s="9">
        <v>18000.0</v>
      </c>
      <c r="I42" s="9">
        <v>4.0</v>
      </c>
      <c r="J42" s="7" t="s">
        <v>24</v>
      </c>
      <c r="K42" s="11">
        <f t="shared" si="1"/>
        <v>34560</v>
      </c>
      <c r="L42" s="11">
        <f t="shared" si="2"/>
        <v>36000</v>
      </c>
      <c r="M42" s="12" t="str">
        <f t="shared" si="3"/>
        <v>February</v>
      </c>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row>
    <row r="43" ht="22.5" customHeight="1">
      <c r="A43" s="5" t="s">
        <v>121</v>
      </c>
      <c r="B43" s="6">
        <v>45710.0</v>
      </c>
      <c r="C43" s="5" t="s">
        <v>87</v>
      </c>
      <c r="D43" s="7" t="s">
        <v>39</v>
      </c>
      <c r="E43" s="7" t="s">
        <v>40</v>
      </c>
      <c r="F43" s="8" t="s">
        <v>23</v>
      </c>
      <c r="G43" s="9">
        <v>2.0</v>
      </c>
      <c r="H43" s="9">
        <v>9500.0</v>
      </c>
      <c r="I43" s="9">
        <v>6.0</v>
      </c>
      <c r="J43" s="7" t="s">
        <v>24</v>
      </c>
      <c r="K43" s="11">
        <f t="shared" si="1"/>
        <v>17860</v>
      </c>
      <c r="L43" s="11">
        <f t="shared" si="2"/>
        <v>19000</v>
      </c>
      <c r="M43" s="12" t="str">
        <f t="shared" si="3"/>
        <v>February</v>
      </c>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row>
    <row r="44" ht="22.5" customHeight="1">
      <c r="A44" s="5" t="s">
        <v>122</v>
      </c>
      <c r="B44" s="15">
        <v>45754.0</v>
      </c>
      <c r="C44" s="5" t="s">
        <v>47</v>
      </c>
      <c r="D44" s="7" t="s">
        <v>28</v>
      </c>
      <c r="E44" s="7" t="s">
        <v>22</v>
      </c>
      <c r="F44" s="8" t="s">
        <v>30</v>
      </c>
      <c r="G44" s="9">
        <v>2.0</v>
      </c>
      <c r="H44" s="9">
        <v>12000.0</v>
      </c>
      <c r="I44" s="9">
        <v>3.0</v>
      </c>
      <c r="J44" s="7" t="s">
        <v>24</v>
      </c>
      <c r="K44" s="11">
        <f t="shared" si="1"/>
        <v>23280</v>
      </c>
      <c r="L44" s="11">
        <f t="shared" si="2"/>
        <v>24000</v>
      </c>
      <c r="M44" s="12" t="str">
        <f t="shared" si="3"/>
        <v>April</v>
      </c>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row>
    <row r="45" ht="22.5" customHeight="1">
      <c r="A45" s="5" t="s">
        <v>123</v>
      </c>
      <c r="B45" s="15">
        <v>45721.0</v>
      </c>
      <c r="C45" s="5" t="s">
        <v>124</v>
      </c>
      <c r="D45" s="7" t="s">
        <v>28</v>
      </c>
      <c r="E45" s="7" t="s">
        <v>125</v>
      </c>
      <c r="F45" s="8" t="s">
        <v>17</v>
      </c>
      <c r="G45" s="9">
        <v>2.0</v>
      </c>
      <c r="H45" s="9">
        <v>55000.0</v>
      </c>
      <c r="I45" s="9">
        <v>5.0</v>
      </c>
      <c r="J45" s="7" t="s">
        <v>126</v>
      </c>
      <c r="K45" s="11" t="str">
        <f t="shared" si="1"/>
        <v/>
      </c>
      <c r="L45" s="11" t="str">
        <f t="shared" si="2"/>
        <v/>
      </c>
      <c r="M45" s="12" t="str">
        <f t="shared" si="3"/>
        <v>March</v>
      </c>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row>
    <row r="46" ht="22.5" customHeight="1">
      <c r="A46" s="5" t="s">
        <v>127</v>
      </c>
      <c r="B46" s="6">
        <v>45730.0</v>
      </c>
      <c r="C46" s="5" t="s">
        <v>98</v>
      </c>
      <c r="D46" s="7" t="s">
        <v>39</v>
      </c>
      <c r="E46" s="7" t="s">
        <v>128</v>
      </c>
      <c r="F46" s="8" t="s">
        <v>74</v>
      </c>
      <c r="G46" s="9">
        <v>2.0</v>
      </c>
      <c r="H46" s="9">
        <v>18000.0</v>
      </c>
      <c r="I46" s="9">
        <v>6.0</v>
      </c>
      <c r="J46" s="7" t="s">
        <v>24</v>
      </c>
      <c r="K46" s="11">
        <f t="shared" si="1"/>
        <v>33840</v>
      </c>
      <c r="L46" s="11">
        <f t="shared" si="2"/>
        <v>36000</v>
      </c>
      <c r="M46" s="12" t="str">
        <f t="shared" si="3"/>
        <v>March</v>
      </c>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row>
    <row r="47" ht="22.5" customHeight="1">
      <c r="A47" s="5" t="s">
        <v>129</v>
      </c>
      <c r="B47" s="6">
        <v>45776.0</v>
      </c>
      <c r="C47" s="5" t="s">
        <v>130</v>
      </c>
      <c r="D47" s="7" t="s">
        <v>39</v>
      </c>
      <c r="E47" s="7" t="s">
        <v>40</v>
      </c>
      <c r="F47" s="8" t="s">
        <v>44</v>
      </c>
      <c r="G47" s="9">
        <v>2.0</v>
      </c>
      <c r="H47" s="9">
        <v>7500.0</v>
      </c>
      <c r="I47" s="9">
        <v>5.0</v>
      </c>
      <c r="J47" s="7" t="s">
        <v>24</v>
      </c>
      <c r="K47" s="11">
        <f t="shared" si="1"/>
        <v>14250</v>
      </c>
      <c r="L47" s="11">
        <f t="shared" si="2"/>
        <v>15000</v>
      </c>
      <c r="M47" s="12" t="str">
        <f t="shared" si="3"/>
        <v>April</v>
      </c>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row>
    <row r="48" ht="22.5" customHeight="1">
      <c r="A48" s="5" t="s">
        <v>131</v>
      </c>
      <c r="B48" s="6">
        <v>45768.0</v>
      </c>
      <c r="C48" s="5" t="s">
        <v>57</v>
      </c>
      <c r="D48" s="7" t="s">
        <v>33</v>
      </c>
      <c r="E48" s="7" t="s">
        <v>125</v>
      </c>
      <c r="F48" s="8" t="s">
        <v>17</v>
      </c>
      <c r="G48" s="9">
        <v>2.0</v>
      </c>
      <c r="H48" s="9">
        <v>55000.0</v>
      </c>
      <c r="I48" s="9">
        <v>6.0</v>
      </c>
      <c r="J48" s="10" t="s">
        <v>24</v>
      </c>
      <c r="K48" s="11">
        <f t="shared" si="1"/>
        <v>103400</v>
      </c>
      <c r="L48" s="11">
        <f t="shared" si="2"/>
        <v>110000</v>
      </c>
      <c r="M48" s="12" t="str">
        <f t="shared" si="3"/>
        <v>April</v>
      </c>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row>
    <row r="49" ht="22.5" customHeight="1">
      <c r="A49" s="5" t="s">
        <v>132</v>
      </c>
      <c r="B49" s="6">
        <v>45733.0</v>
      </c>
      <c r="C49" s="5" t="s">
        <v>133</v>
      </c>
      <c r="D49" s="7" t="s">
        <v>15</v>
      </c>
      <c r="E49" s="7" t="s">
        <v>22</v>
      </c>
      <c r="F49" s="8" t="s">
        <v>30</v>
      </c>
      <c r="G49" s="9">
        <v>2.0</v>
      </c>
      <c r="H49" s="9">
        <v>12000.0</v>
      </c>
      <c r="I49" s="9">
        <v>5.0</v>
      </c>
      <c r="J49" s="7" t="s">
        <v>24</v>
      </c>
      <c r="K49" s="11">
        <f t="shared" si="1"/>
        <v>22800</v>
      </c>
      <c r="L49" s="11">
        <f t="shared" si="2"/>
        <v>24000</v>
      </c>
      <c r="M49" s="12" t="str">
        <f t="shared" si="3"/>
        <v>March</v>
      </c>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row>
    <row r="50" ht="22.5" customHeight="1">
      <c r="A50" s="5" t="s">
        <v>134</v>
      </c>
      <c r="B50" s="6">
        <v>45716.0</v>
      </c>
      <c r="C50" s="5" t="s">
        <v>100</v>
      </c>
      <c r="D50" s="7" t="s">
        <v>33</v>
      </c>
      <c r="E50" s="7" t="s">
        <v>43</v>
      </c>
      <c r="F50" s="8" t="s">
        <v>44</v>
      </c>
      <c r="G50" s="9">
        <v>2.0</v>
      </c>
      <c r="H50" s="9">
        <v>7500.0</v>
      </c>
      <c r="I50" s="9">
        <v>4.0</v>
      </c>
      <c r="J50" s="7" t="s">
        <v>24</v>
      </c>
      <c r="K50" s="11">
        <f t="shared" si="1"/>
        <v>14400</v>
      </c>
      <c r="L50" s="11">
        <f t="shared" si="2"/>
        <v>15000</v>
      </c>
      <c r="M50" s="12" t="str">
        <f t="shared" si="3"/>
        <v>February</v>
      </c>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row>
    <row r="51" ht="22.5" customHeight="1">
      <c r="A51" s="5" t="s">
        <v>135</v>
      </c>
      <c r="B51" s="15">
        <v>45725.0</v>
      </c>
      <c r="C51" s="5" t="s">
        <v>136</v>
      </c>
      <c r="D51" s="7" t="s">
        <v>39</v>
      </c>
      <c r="E51" s="7" t="s">
        <v>34</v>
      </c>
      <c r="F51" s="8" t="s">
        <v>30</v>
      </c>
      <c r="G51" s="9">
        <v>2.0</v>
      </c>
      <c r="H51" s="9">
        <v>12000.0</v>
      </c>
      <c r="I51" s="9">
        <v>6.0</v>
      </c>
      <c r="J51" s="7" t="s">
        <v>24</v>
      </c>
      <c r="K51" s="11">
        <f t="shared" si="1"/>
        <v>22560</v>
      </c>
      <c r="L51" s="11">
        <f t="shared" si="2"/>
        <v>24000</v>
      </c>
      <c r="M51" s="12" t="str">
        <f t="shared" si="3"/>
        <v>March</v>
      </c>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row>
    <row r="52" ht="22.5" customHeight="1">
      <c r="A52" s="5" t="s">
        <v>137</v>
      </c>
      <c r="B52" s="6">
        <v>45711.0</v>
      </c>
      <c r="C52" s="5" t="s">
        <v>138</v>
      </c>
      <c r="D52" s="7" t="s">
        <v>33</v>
      </c>
      <c r="E52" s="7" t="s">
        <v>22</v>
      </c>
      <c r="F52" s="8" t="s">
        <v>23</v>
      </c>
      <c r="G52" s="9">
        <v>2.0</v>
      </c>
      <c r="H52" s="9">
        <v>9500.0</v>
      </c>
      <c r="I52" s="9">
        <v>5.0</v>
      </c>
      <c r="J52" s="7" t="s">
        <v>24</v>
      </c>
      <c r="K52" s="11">
        <f t="shared" si="1"/>
        <v>18050</v>
      </c>
      <c r="L52" s="11">
        <f t="shared" si="2"/>
        <v>19000</v>
      </c>
      <c r="M52" s="12" t="str">
        <f t="shared" si="3"/>
        <v>February</v>
      </c>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row>
    <row r="53" ht="22.5" customHeight="1">
      <c r="A53" s="5" t="s">
        <v>129</v>
      </c>
      <c r="B53" s="6">
        <v>45776.0</v>
      </c>
      <c r="C53" s="5" t="s">
        <v>130</v>
      </c>
      <c r="D53" s="7" t="s">
        <v>39</v>
      </c>
      <c r="E53" s="7" t="s">
        <v>40</v>
      </c>
      <c r="F53" s="8" t="s">
        <v>44</v>
      </c>
      <c r="G53" s="9">
        <v>2.0</v>
      </c>
      <c r="H53" s="9">
        <v>7500.0</v>
      </c>
      <c r="I53" s="9">
        <v>5.0</v>
      </c>
      <c r="J53" s="7" t="s">
        <v>24</v>
      </c>
      <c r="K53" s="11">
        <f t="shared" si="1"/>
        <v>14250</v>
      </c>
      <c r="L53" s="11">
        <f t="shared" si="2"/>
        <v>15000</v>
      </c>
      <c r="M53" s="12" t="str">
        <f t="shared" si="3"/>
        <v>April</v>
      </c>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row>
    <row r="54" ht="22.5" customHeight="1">
      <c r="A54" s="5" t="s">
        <v>139</v>
      </c>
      <c r="B54" s="6">
        <v>45727.0</v>
      </c>
      <c r="C54" s="5" t="s">
        <v>140</v>
      </c>
      <c r="D54" s="7" t="s">
        <v>39</v>
      </c>
      <c r="E54" s="7" t="s">
        <v>125</v>
      </c>
      <c r="F54" s="8" t="s">
        <v>74</v>
      </c>
      <c r="G54" s="9">
        <v>2.0</v>
      </c>
      <c r="H54" s="9">
        <v>18000.0</v>
      </c>
      <c r="I54" s="9">
        <v>3.0</v>
      </c>
      <c r="J54" s="7" t="s">
        <v>24</v>
      </c>
      <c r="K54" s="11">
        <f t="shared" si="1"/>
        <v>34920</v>
      </c>
      <c r="L54" s="11">
        <f t="shared" si="2"/>
        <v>36000</v>
      </c>
      <c r="M54" s="12" t="str">
        <f t="shared" si="3"/>
        <v>March</v>
      </c>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row>
    <row r="55" ht="22.5" customHeight="1">
      <c r="A55" s="5" t="s">
        <v>141</v>
      </c>
      <c r="B55" s="6">
        <v>45741.0</v>
      </c>
      <c r="C55" s="5" t="s">
        <v>142</v>
      </c>
      <c r="D55" s="7" t="s">
        <v>33</v>
      </c>
      <c r="E55" s="7" t="s">
        <v>91</v>
      </c>
      <c r="F55" s="8" t="s">
        <v>30</v>
      </c>
      <c r="G55" s="9">
        <v>2.0</v>
      </c>
      <c r="H55" s="9">
        <v>12000.0</v>
      </c>
      <c r="I55" s="9">
        <v>5.0</v>
      </c>
      <c r="J55" s="7" t="s">
        <v>24</v>
      </c>
      <c r="K55" s="11">
        <f t="shared" si="1"/>
        <v>22800</v>
      </c>
      <c r="L55" s="11">
        <f t="shared" si="2"/>
        <v>24000</v>
      </c>
      <c r="M55" s="12" t="str">
        <f t="shared" si="3"/>
        <v>March</v>
      </c>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row>
    <row r="56" ht="22.5" customHeight="1">
      <c r="A56" s="5" t="s">
        <v>143</v>
      </c>
      <c r="B56" s="15">
        <v>45693.0</v>
      </c>
      <c r="C56" s="5" t="s">
        <v>144</v>
      </c>
      <c r="D56" s="7" t="s">
        <v>39</v>
      </c>
      <c r="E56" s="7" t="s">
        <v>34</v>
      </c>
      <c r="F56" s="8" t="s">
        <v>74</v>
      </c>
      <c r="G56" s="9">
        <v>2.0</v>
      </c>
      <c r="H56" s="9">
        <v>18000.0</v>
      </c>
      <c r="I56" s="9">
        <v>5.0</v>
      </c>
      <c r="J56" s="7" t="s">
        <v>24</v>
      </c>
      <c r="K56" s="11">
        <f t="shared" si="1"/>
        <v>34200</v>
      </c>
      <c r="L56" s="11">
        <f t="shared" si="2"/>
        <v>36000</v>
      </c>
      <c r="M56" s="12" t="str">
        <f t="shared" si="3"/>
        <v>February</v>
      </c>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row>
    <row r="57" ht="22.5" customHeight="1">
      <c r="A57" s="5" t="s">
        <v>111</v>
      </c>
      <c r="B57" s="6">
        <v>45715.0</v>
      </c>
      <c r="C57" s="5" t="s">
        <v>112</v>
      </c>
      <c r="D57" s="7" t="s">
        <v>28</v>
      </c>
      <c r="E57" s="7" t="s">
        <v>34</v>
      </c>
      <c r="F57" s="8" t="s">
        <v>30</v>
      </c>
      <c r="G57" s="9">
        <v>2.0</v>
      </c>
      <c r="H57" s="9">
        <v>12000.0</v>
      </c>
      <c r="I57" s="9">
        <v>6.0</v>
      </c>
      <c r="J57" s="7" t="s">
        <v>24</v>
      </c>
      <c r="K57" s="11">
        <f t="shared" si="1"/>
        <v>22560</v>
      </c>
      <c r="L57" s="11">
        <f t="shared" si="2"/>
        <v>24000</v>
      </c>
      <c r="M57" s="12" t="str">
        <f t="shared" si="3"/>
        <v>February</v>
      </c>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row>
    <row r="58" ht="22.5" customHeight="1">
      <c r="A58" s="5" t="s">
        <v>145</v>
      </c>
      <c r="B58" s="15">
        <v>45720.0</v>
      </c>
      <c r="C58" s="5" t="s">
        <v>80</v>
      </c>
      <c r="D58" s="7" t="s">
        <v>15</v>
      </c>
      <c r="E58" s="7" t="s">
        <v>34</v>
      </c>
      <c r="F58" s="8" t="s">
        <v>30</v>
      </c>
      <c r="G58" s="9">
        <v>2.0</v>
      </c>
      <c r="H58" s="9">
        <v>12000.0</v>
      </c>
      <c r="I58" s="9">
        <v>5.0</v>
      </c>
      <c r="J58" s="7" t="s">
        <v>24</v>
      </c>
      <c r="K58" s="11">
        <f t="shared" si="1"/>
        <v>22800</v>
      </c>
      <c r="L58" s="11">
        <f t="shared" si="2"/>
        <v>24000</v>
      </c>
      <c r="M58" s="12" t="str">
        <f t="shared" si="3"/>
        <v>March</v>
      </c>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row>
    <row r="59" ht="22.5" customHeight="1">
      <c r="A59" s="5" t="s">
        <v>146</v>
      </c>
      <c r="B59" s="6">
        <v>45726.0</v>
      </c>
      <c r="C59" s="5" t="s">
        <v>82</v>
      </c>
      <c r="D59" s="7" t="s">
        <v>33</v>
      </c>
      <c r="E59" s="7" t="s">
        <v>125</v>
      </c>
      <c r="F59" s="8" t="s">
        <v>44</v>
      </c>
      <c r="G59" s="9">
        <v>2.0</v>
      </c>
      <c r="H59" s="9">
        <v>7500.0</v>
      </c>
      <c r="I59" s="9">
        <v>4.0</v>
      </c>
      <c r="J59" s="7" t="s">
        <v>24</v>
      </c>
      <c r="K59" s="11">
        <f t="shared" si="1"/>
        <v>14400</v>
      </c>
      <c r="L59" s="11">
        <f t="shared" si="2"/>
        <v>15000</v>
      </c>
      <c r="M59" s="12" t="str">
        <f t="shared" si="3"/>
        <v>March</v>
      </c>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row>
    <row r="60" ht="22.5" customHeight="1">
      <c r="A60" s="5" t="s">
        <v>147</v>
      </c>
      <c r="B60" s="15">
        <v>45756.0</v>
      </c>
      <c r="C60" s="5" t="s">
        <v>148</v>
      </c>
      <c r="D60" s="7" t="s">
        <v>33</v>
      </c>
      <c r="E60" s="7" t="s">
        <v>43</v>
      </c>
      <c r="F60" s="8" t="s">
        <v>30</v>
      </c>
      <c r="G60" s="9">
        <v>2.0</v>
      </c>
      <c r="H60" s="9">
        <v>12000.0</v>
      </c>
      <c r="I60" s="9">
        <v>5.0</v>
      </c>
      <c r="J60" s="7" t="s">
        <v>24</v>
      </c>
      <c r="K60" s="11">
        <f t="shared" si="1"/>
        <v>22800</v>
      </c>
      <c r="L60" s="11">
        <f t="shared" si="2"/>
        <v>24000</v>
      </c>
      <c r="M60" s="12" t="str">
        <f t="shared" si="3"/>
        <v>April</v>
      </c>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row>
    <row r="61" ht="22.5" customHeight="1">
      <c r="A61" s="5" t="s">
        <v>149</v>
      </c>
      <c r="B61" s="15">
        <v>45691.0</v>
      </c>
      <c r="C61" s="5" t="s">
        <v>98</v>
      </c>
      <c r="D61" s="7" t="s">
        <v>28</v>
      </c>
      <c r="E61" s="7" t="s">
        <v>34</v>
      </c>
      <c r="F61" s="8" t="s">
        <v>23</v>
      </c>
      <c r="G61" s="9">
        <v>2.0</v>
      </c>
      <c r="H61" s="9">
        <v>9500.0</v>
      </c>
      <c r="I61" s="9">
        <v>4.0</v>
      </c>
      <c r="J61" s="7" t="s">
        <v>24</v>
      </c>
      <c r="K61" s="11">
        <f t="shared" si="1"/>
        <v>18240</v>
      </c>
      <c r="L61" s="11">
        <f t="shared" si="2"/>
        <v>19000</v>
      </c>
      <c r="M61" s="12" t="str">
        <f t="shared" si="3"/>
        <v>February</v>
      </c>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row>
    <row r="62" ht="22.5" customHeight="1">
      <c r="A62" s="5" t="s">
        <v>150</v>
      </c>
      <c r="B62" s="6">
        <v>45700.0</v>
      </c>
      <c r="C62" s="5" t="s">
        <v>57</v>
      </c>
      <c r="D62" s="7" t="s">
        <v>33</v>
      </c>
      <c r="E62" s="7" t="s">
        <v>34</v>
      </c>
      <c r="F62" s="8" t="s">
        <v>23</v>
      </c>
      <c r="G62" s="9">
        <v>2.0</v>
      </c>
      <c r="H62" s="9">
        <v>9500.0</v>
      </c>
      <c r="I62" s="9">
        <v>6.0</v>
      </c>
      <c r="J62" s="7" t="s">
        <v>24</v>
      </c>
      <c r="K62" s="11">
        <f t="shared" si="1"/>
        <v>17860</v>
      </c>
      <c r="L62" s="11">
        <f t="shared" si="2"/>
        <v>19000</v>
      </c>
      <c r="M62" s="12" t="str">
        <f t="shared" si="3"/>
        <v>February</v>
      </c>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row>
    <row r="63" ht="22.5" customHeight="1">
      <c r="A63" s="5" t="s">
        <v>151</v>
      </c>
      <c r="B63" s="6">
        <v>45740.0</v>
      </c>
      <c r="C63" s="5" t="s">
        <v>152</v>
      </c>
      <c r="D63" s="7" t="s">
        <v>15</v>
      </c>
      <c r="E63" s="7" t="s">
        <v>43</v>
      </c>
      <c r="F63" s="8" t="s">
        <v>17</v>
      </c>
      <c r="G63" s="9">
        <v>2.0</v>
      </c>
      <c r="H63" s="9">
        <v>55000.0</v>
      </c>
      <c r="I63" s="9">
        <v>5.0</v>
      </c>
      <c r="J63" s="7" t="s">
        <v>24</v>
      </c>
      <c r="K63" s="11">
        <f t="shared" si="1"/>
        <v>104500</v>
      </c>
      <c r="L63" s="11">
        <f t="shared" si="2"/>
        <v>110000</v>
      </c>
      <c r="M63" s="12" t="str">
        <f t="shared" si="3"/>
        <v>March</v>
      </c>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row>
    <row r="64" ht="22.5" customHeight="1">
      <c r="A64" s="5" t="s">
        <v>153</v>
      </c>
      <c r="B64" s="18" t="s">
        <v>154</v>
      </c>
      <c r="C64" s="5" t="s">
        <v>22</v>
      </c>
      <c r="D64" s="7" t="s">
        <v>28</v>
      </c>
      <c r="E64" s="7" t="s">
        <v>91</v>
      </c>
      <c r="F64" s="8" t="s">
        <v>23</v>
      </c>
      <c r="G64" s="9">
        <v>2.0</v>
      </c>
      <c r="H64" s="9">
        <v>9500.0</v>
      </c>
      <c r="I64" s="9">
        <v>5.0</v>
      </c>
      <c r="J64" s="7" t="s">
        <v>24</v>
      </c>
      <c r="K64" s="11">
        <f t="shared" si="1"/>
        <v>18050</v>
      </c>
      <c r="L64" s="11">
        <f t="shared" si="2"/>
        <v>19000</v>
      </c>
      <c r="M64" s="12" t="str">
        <f t="shared" si="3"/>
        <v>April</v>
      </c>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row>
    <row r="65" ht="22.5" customHeight="1">
      <c r="A65" s="5" t="s">
        <v>155</v>
      </c>
      <c r="B65" s="18" t="s">
        <v>156</v>
      </c>
      <c r="C65" s="5" t="s">
        <v>157</v>
      </c>
      <c r="D65" s="7" t="s">
        <v>33</v>
      </c>
      <c r="E65" s="7" t="s">
        <v>22</v>
      </c>
      <c r="F65" s="8" t="s">
        <v>74</v>
      </c>
      <c r="G65" s="9">
        <v>2.0</v>
      </c>
      <c r="H65" s="9">
        <v>18000.0</v>
      </c>
      <c r="I65" s="9">
        <v>4.0</v>
      </c>
      <c r="J65" s="7" t="s">
        <v>24</v>
      </c>
      <c r="K65" s="11">
        <f t="shared" si="1"/>
        <v>34560</v>
      </c>
      <c r="L65" s="11">
        <f t="shared" si="2"/>
        <v>36000</v>
      </c>
      <c r="M65" s="12" t="str">
        <f t="shared" si="3"/>
        <v>February</v>
      </c>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row>
    <row r="66" ht="22.5" customHeight="1">
      <c r="A66" s="5" t="s">
        <v>158</v>
      </c>
      <c r="B66" s="15">
        <v>45724.0</v>
      </c>
      <c r="C66" s="5" t="s">
        <v>159</v>
      </c>
      <c r="D66" s="7" t="s">
        <v>28</v>
      </c>
      <c r="E66" s="7" t="s">
        <v>34</v>
      </c>
      <c r="F66" s="8" t="s">
        <v>30</v>
      </c>
      <c r="G66" s="9">
        <v>2.0</v>
      </c>
      <c r="H66" s="9">
        <v>12000.0</v>
      </c>
      <c r="I66" s="9">
        <v>5.0</v>
      </c>
      <c r="J66" s="7" t="s">
        <v>24</v>
      </c>
      <c r="K66" s="11">
        <f t="shared" si="1"/>
        <v>22800</v>
      </c>
      <c r="L66" s="11">
        <f t="shared" si="2"/>
        <v>24000</v>
      </c>
      <c r="M66" s="12" t="str">
        <f t="shared" si="3"/>
        <v>March</v>
      </c>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row>
    <row r="67" ht="22.5" customHeight="1">
      <c r="A67" s="5" t="s">
        <v>160</v>
      </c>
      <c r="B67" s="6">
        <v>45758.0</v>
      </c>
      <c r="C67" s="5" t="s">
        <v>161</v>
      </c>
      <c r="D67" s="7" t="s">
        <v>28</v>
      </c>
      <c r="E67" s="7" t="s">
        <v>34</v>
      </c>
      <c r="F67" s="8" t="s">
        <v>30</v>
      </c>
      <c r="G67" s="9">
        <v>3.0</v>
      </c>
      <c r="H67" s="9">
        <v>12000.0</v>
      </c>
      <c r="I67" s="9">
        <v>5.0</v>
      </c>
      <c r="J67" s="7" t="s">
        <v>24</v>
      </c>
      <c r="K67" s="11">
        <f t="shared" si="1"/>
        <v>34200</v>
      </c>
      <c r="L67" s="11">
        <f t="shared" si="2"/>
        <v>36000</v>
      </c>
      <c r="M67" s="12" t="str">
        <f t="shared" si="3"/>
        <v>April</v>
      </c>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row>
    <row r="68" ht="22.5" customHeight="1">
      <c r="A68" s="5" t="s">
        <v>162</v>
      </c>
      <c r="B68" s="6">
        <v>45713.0</v>
      </c>
      <c r="C68" s="5" t="s">
        <v>124</v>
      </c>
      <c r="D68" s="7" t="s">
        <v>39</v>
      </c>
      <c r="E68" s="7"/>
      <c r="F68" s="8" t="s">
        <v>17</v>
      </c>
      <c r="G68" s="9">
        <v>3.0</v>
      </c>
      <c r="H68" s="9">
        <v>55000.0</v>
      </c>
      <c r="I68" s="9">
        <v>5.0</v>
      </c>
      <c r="J68" s="7" t="s">
        <v>126</v>
      </c>
      <c r="K68" s="11" t="str">
        <f t="shared" si="1"/>
        <v/>
      </c>
      <c r="L68" s="11" t="str">
        <f t="shared" si="2"/>
        <v/>
      </c>
      <c r="M68" s="12" t="str">
        <f t="shared" si="3"/>
        <v>February</v>
      </c>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row>
    <row r="69" ht="22.5" customHeight="1">
      <c r="A69" s="5" t="s">
        <v>163</v>
      </c>
      <c r="B69" s="6">
        <v>45709.0</v>
      </c>
      <c r="C69" s="5" t="s">
        <v>60</v>
      </c>
      <c r="D69" s="7" t="s">
        <v>15</v>
      </c>
      <c r="E69" s="7" t="s">
        <v>40</v>
      </c>
      <c r="F69" s="8" t="s">
        <v>44</v>
      </c>
      <c r="G69" s="9">
        <v>3.0</v>
      </c>
      <c r="H69" s="9">
        <v>7500.0</v>
      </c>
      <c r="I69" s="9">
        <v>5.0</v>
      </c>
      <c r="J69" s="7" t="s">
        <v>24</v>
      </c>
      <c r="K69" s="11">
        <f t="shared" si="1"/>
        <v>21375</v>
      </c>
      <c r="L69" s="11">
        <f t="shared" si="2"/>
        <v>22500</v>
      </c>
      <c r="M69" s="12" t="str">
        <f t="shared" si="3"/>
        <v>February</v>
      </c>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row>
    <row r="70" ht="22.5" customHeight="1">
      <c r="A70" s="5" t="s">
        <v>164</v>
      </c>
      <c r="B70" s="6">
        <v>45712.0</v>
      </c>
      <c r="C70" s="5" t="s">
        <v>165</v>
      </c>
      <c r="D70" s="7" t="s">
        <v>33</v>
      </c>
      <c r="E70" s="7" t="s">
        <v>22</v>
      </c>
      <c r="F70" s="8" t="s">
        <v>23</v>
      </c>
      <c r="G70" s="9">
        <v>3.0</v>
      </c>
      <c r="H70" s="9">
        <v>9500.0</v>
      </c>
      <c r="I70" s="9">
        <v>6.0</v>
      </c>
      <c r="J70" s="7" t="s">
        <v>24</v>
      </c>
      <c r="K70" s="11">
        <f t="shared" si="1"/>
        <v>26790</v>
      </c>
      <c r="L70" s="11">
        <f t="shared" si="2"/>
        <v>28500</v>
      </c>
      <c r="M70" s="12" t="str">
        <f t="shared" si="3"/>
        <v>February</v>
      </c>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row>
    <row r="71" ht="22.5" customHeight="1">
      <c r="A71" s="5" t="s">
        <v>166</v>
      </c>
      <c r="B71" s="6">
        <v>45706.0</v>
      </c>
      <c r="C71" s="5" t="s">
        <v>77</v>
      </c>
      <c r="D71" s="7" t="s">
        <v>33</v>
      </c>
      <c r="E71" s="7" t="s">
        <v>43</v>
      </c>
      <c r="F71" s="8" t="s">
        <v>74</v>
      </c>
      <c r="G71" s="9">
        <v>3.0</v>
      </c>
      <c r="H71" s="9">
        <v>18000.0</v>
      </c>
      <c r="I71" s="9">
        <v>6.0</v>
      </c>
      <c r="J71" s="7" t="s">
        <v>24</v>
      </c>
      <c r="K71" s="11">
        <f t="shared" si="1"/>
        <v>50760</v>
      </c>
      <c r="L71" s="11">
        <f t="shared" si="2"/>
        <v>54000</v>
      </c>
      <c r="M71" s="12" t="str">
        <f t="shared" si="3"/>
        <v>February</v>
      </c>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row>
    <row r="72" ht="22.5" customHeight="1">
      <c r="A72" s="5" t="s">
        <v>167</v>
      </c>
      <c r="B72" s="15">
        <v>45751.0</v>
      </c>
      <c r="C72" s="5" t="s">
        <v>168</v>
      </c>
      <c r="D72" s="7" t="s">
        <v>33</v>
      </c>
      <c r="E72" s="7" t="s">
        <v>91</v>
      </c>
      <c r="F72" s="8" t="s">
        <v>30</v>
      </c>
      <c r="G72" s="9">
        <v>3.0</v>
      </c>
      <c r="H72" s="9">
        <v>12000.0</v>
      </c>
      <c r="I72" s="9">
        <v>5.0</v>
      </c>
      <c r="J72" s="7" t="s">
        <v>24</v>
      </c>
      <c r="K72" s="11">
        <f t="shared" si="1"/>
        <v>34200</v>
      </c>
      <c r="L72" s="11">
        <f t="shared" si="2"/>
        <v>36000</v>
      </c>
      <c r="M72" s="12" t="str">
        <f t="shared" si="3"/>
        <v>April</v>
      </c>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row>
    <row r="73" ht="22.5" customHeight="1">
      <c r="A73" s="5" t="s">
        <v>169</v>
      </c>
      <c r="B73" s="6">
        <v>45738.0</v>
      </c>
      <c r="C73" s="5" t="s">
        <v>170</v>
      </c>
      <c r="D73" s="7" t="s">
        <v>28</v>
      </c>
      <c r="E73" s="7" t="s">
        <v>22</v>
      </c>
      <c r="F73" s="8" t="s">
        <v>74</v>
      </c>
      <c r="G73" s="9">
        <v>3.0</v>
      </c>
      <c r="H73" s="9">
        <v>18000.0</v>
      </c>
      <c r="I73" s="9">
        <v>5.0</v>
      </c>
      <c r="J73" s="7" t="s">
        <v>24</v>
      </c>
      <c r="K73" s="11">
        <f t="shared" si="1"/>
        <v>51300</v>
      </c>
      <c r="L73" s="11">
        <f t="shared" si="2"/>
        <v>54000</v>
      </c>
      <c r="M73" s="12" t="str">
        <f t="shared" si="3"/>
        <v>March</v>
      </c>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row>
    <row r="74" ht="22.5" customHeight="1">
      <c r="A74" s="5" t="s">
        <v>171</v>
      </c>
      <c r="B74" s="15">
        <v>45752.0</v>
      </c>
      <c r="C74" s="5" t="s">
        <v>172</v>
      </c>
      <c r="D74" s="7" t="s">
        <v>39</v>
      </c>
      <c r="E74" s="7" t="s">
        <v>34</v>
      </c>
      <c r="F74" s="8" t="s">
        <v>74</v>
      </c>
      <c r="G74" s="9">
        <v>3.0</v>
      </c>
      <c r="H74" s="9">
        <v>18000.0</v>
      </c>
      <c r="I74" s="9">
        <v>5.0</v>
      </c>
      <c r="J74" s="7" t="s">
        <v>24</v>
      </c>
      <c r="K74" s="11">
        <f t="shared" si="1"/>
        <v>51300</v>
      </c>
      <c r="L74" s="11">
        <f t="shared" si="2"/>
        <v>54000</v>
      </c>
      <c r="M74" s="12" t="str">
        <f t="shared" si="3"/>
        <v>April</v>
      </c>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row>
    <row r="75" ht="22.5" customHeight="1">
      <c r="A75" s="5" t="s">
        <v>173</v>
      </c>
      <c r="B75" s="6">
        <v>45699.0</v>
      </c>
      <c r="C75" s="5" t="s">
        <v>174</v>
      </c>
      <c r="D75" s="7" t="s">
        <v>28</v>
      </c>
      <c r="E75" s="7" t="s">
        <v>34</v>
      </c>
      <c r="F75" s="8" t="s">
        <v>30</v>
      </c>
      <c r="G75" s="9">
        <v>3.0</v>
      </c>
      <c r="H75" s="9">
        <v>12000.0</v>
      </c>
      <c r="I75" s="9">
        <v>5.0</v>
      </c>
      <c r="J75" s="7" t="s">
        <v>24</v>
      </c>
      <c r="K75" s="11">
        <f t="shared" si="1"/>
        <v>34200</v>
      </c>
      <c r="L75" s="11">
        <f t="shared" si="2"/>
        <v>36000</v>
      </c>
      <c r="M75" s="12" t="str">
        <f t="shared" si="3"/>
        <v>February</v>
      </c>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row>
    <row r="76" ht="22.5" customHeight="1">
      <c r="A76" s="5" t="s">
        <v>175</v>
      </c>
      <c r="B76" s="6">
        <v>45716.0</v>
      </c>
      <c r="C76" s="5" t="s">
        <v>176</v>
      </c>
      <c r="D76" s="7" t="s">
        <v>33</v>
      </c>
      <c r="E76" s="7" t="s">
        <v>40</v>
      </c>
      <c r="F76" s="8" t="s">
        <v>23</v>
      </c>
      <c r="G76" s="9">
        <v>3.0</v>
      </c>
      <c r="H76" s="9">
        <v>9500.0</v>
      </c>
      <c r="I76" s="9">
        <v>4.0</v>
      </c>
      <c r="J76" s="7" t="s">
        <v>24</v>
      </c>
      <c r="K76" s="11">
        <f t="shared" si="1"/>
        <v>27360</v>
      </c>
      <c r="L76" s="11">
        <f t="shared" si="2"/>
        <v>28500</v>
      </c>
      <c r="M76" s="12" t="str">
        <f t="shared" si="3"/>
        <v>February</v>
      </c>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row>
    <row r="77" ht="22.5" customHeight="1">
      <c r="A77" s="5" t="s">
        <v>177</v>
      </c>
      <c r="B77" s="6">
        <v>45708.0</v>
      </c>
      <c r="C77" s="5" t="s">
        <v>27</v>
      </c>
      <c r="D77" s="7" t="s">
        <v>28</v>
      </c>
      <c r="E77" s="7" t="s">
        <v>43</v>
      </c>
      <c r="F77" s="8" t="s">
        <v>17</v>
      </c>
      <c r="G77" s="9">
        <v>3.0</v>
      </c>
      <c r="H77" s="9">
        <v>55000.0</v>
      </c>
      <c r="I77" s="9">
        <v>6.0</v>
      </c>
      <c r="J77" s="7" t="s">
        <v>24</v>
      </c>
      <c r="K77" s="11">
        <f t="shared" si="1"/>
        <v>155100</v>
      </c>
      <c r="L77" s="11">
        <f t="shared" si="2"/>
        <v>165000</v>
      </c>
      <c r="M77" s="12" t="str">
        <f t="shared" si="3"/>
        <v>February</v>
      </c>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row>
    <row r="78" ht="22.5" customHeight="1">
      <c r="A78" s="5" t="s">
        <v>178</v>
      </c>
      <c r="B78" s="15">
        <v>45749.0</v>
      </c>
      <c r="C78" s="5" t="s">
        <v>179</v>
      </c>
      <c r="D78" s="7" t="s">
        <v>15</v>
      </c>
      <c r="E78" s="7" t="s">
        <v>43</v>
      </c>
      <c r="F78" s="8" t="s">
        <v>30</v>
      </c>
      <c r="G78" s="9">
        <v>3.0</v>
      </c>
      <c r="H78" s="9">
        <v>12000.0</v>
      </c>
      <c r="I78" s="9">
        <v>5.0</v>
      </c>
      <c r="J78" s="7" t="s">
        <v>24</v>
      </c>
      <c r="K78" s="11">
        <f t="shared" si="1"/>
        <v>34200</v>
      </c>
      <c r="L78" s="11">
        <f t="shared" si="2"/>
        <v>36000</v>
      </c>
      <c r="M78" s="12" t="str">
        <f t="shared" si="3"/>
        <v>April</v>
      </c>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row>
    <row r="79" ht="22.5" customHeight="1">
      <c r="A79" s="5" t="s">
        <v>180</v>
      </c>
      <c r="B79" s="6">
        <v>45726.0</v>
      </c>
      <c r="C79" s="5" t="s">
        <v>181</v>
      </c>
      <c r="D79" s="7" t="s">
        <v>33</v>
      </c>
      <c r="E79" s="7" t="s">
        <v>34</v>
      </c>
      <c r="F79" s="8" t="s">
        <v>44</v>
      </c>
      <c r="G79" s="9">
        <v>3.0</v>
      </c>
      <c r="H79" s="9">
        <v>7500.0</v>
      </c>
      <c r="I79" s="9">
        <v>5.0</v>
      </c>
      <c r="J79" s="7" t="s">
        <v>18</v>
      </c>
      <c r="K79" s="11" t="str">
        <f t="shared" si="1"/>
        <v/>
      </c>
      <c r="L79" s="11" t="str">
        <f t="shared" si="2"/>
        <v/>
      </c>
      <c r="M79" s="12" t="str">
        <f t="shared" si="3"/>
        <v>March</v>
      </c>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row>
    <row r="80" ht="22.5" customHeight="1">
      <c r="A80" s="5" t="s">
        <v>182</v>
      </c>
      <c r="B80" s="6">
        <v>45704.0</v>
      </c>
      <c r="C80" s="5" t="s">
        <v>183</v>
      </c>
      <c r="D80" s="7" t="s">
        <v>33</v>
      </c>
      <c r="E80" s="7" t="s">
        <v>91</v>
      </c>
      <c r="F80" s="8" t="s">
        <v>74</v>
      </c>
      <c r="G80" s="9">
        <v>3.0</v>
      </c>
      <c r="H80" s="9">
        <v>18000.0</v>
      </c>
      <c r="I80" s="9">
        <v>5.0</v>
      </c>
      <c r="J80" s="7" t="s">
        <v>24</v>
      </c>
      <c r="K80" s="11">
        <f t="shared" si="1"/>
        <v>51300</v>
      </c>
      <c r="L80" s="11">
        <f t="shared" si="2"/>
        <v>54000</v>
      </c>
      <c r="M80" s="12" t="str">
        <f t="shared" si="3"/>
        <v>February</v>
      </c>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row>
    <row r="81" ht="22.5" customHeight="1">
      <c r="A81" s="5" t="s">
        <v>184</v>
      </c>
      <c r="B81" s="18" t="s">
        <v>185</v>
      </c>
      <c r="C81" s="5" t="s">
        <v>186</v>
      </c>
      <c r="D81" s="7" t="s">
        <v>28</v>
      </c>
      <c r="E81" s="7" t="s">
        <v>43</v>
      </c>
      <c r="F81" s="8" t="s">
        <v>23</v>
      </c>
      <c r="G81" s="9">
        <v>3.0</v>
      </c>
      <c r="H81" s="9">
        <v>9500.0</v>
      </c>
      <c r="I81" s="9">
        <v>6.0</v>
      </c>
      <c r="J81" s="7" t="s">
        <v>24</v>
      </c>
      <c r="K81" s="11">
        <f t="shared" si="1"/>
        <v>26790</v>
      </c>
      <c r="L81" s="11">
        <f t="shared" si="2"/>
        <v>28500</v>
      </c>
      <c r="M81" s="12" t="str">
        <f t="shared" si="3"/>
        <v>February</v>
      </c>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row>
    <row r="82" ht="22.5" customHeight="1">
      <c r="A82" s="5" t="s">
        <v>187</v>
      </c>
      <c r="B82" s="6">
        <v>45700.0</v>
      </c>
      <c r="C82" s="5" t="s">
        <v>188</v>
      </c>
      <c r="D82" s="7" t="s">
        <v>39</v>
      </c>
      <c r="E82" s="7" t="s">
        <v>34</v>
      </c>
      <c r="F82" s="8" t="s">
        <v>74</v>
      </c>
      <c r="G82" s="9">
        <v>3.0</v>
      </c>
      <c r="H82" s="9">
        <v>18000.0</v>
      </c>
      <c r="I82" s="9">
        <v>4.0</v>
      </c>
      <c r="J82" s="7" t="s">
        <v>24</v>
      </c>
      <c r="K82" s="11">
        <f t="shared" si="1"/>
        <v>51840</v>
      </c>
      <c r="L82" s="11">
        <f t="shared" si="2"/>
        <v>54000</v>
      </c>
      <c r="M82" s="12" t="str">
        <f t="shared" si="3"/>
        <v>February</v>
      </c>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row>
    <row r="83" ht="22.5" customHeight="1">
      <c r="A83" s="5" t="s">
        <v>189</v>
      </c>
      <c r="B83" s="15">
        <v>45751.0</v>
      </c>
      <c r="C83" s="5" t="s">
        <v>190</v>
      </c>
      <c r="D83" s="7" t="s">
        <v>28</v>
      </c>
      <c r="E83" s="7" t="s">
        <v>125</v>
      </c>
      <c r="F83" s="8" t="s">
        <v>17</v>
      </c>
      <c r="G83" s="9">
        <v>3.0</v>
      </c>
      <c r="H83" s="9">
        <v>55000.0</v>
      </c>
      <c r="I83" s="9">
        <v>5.0</v>
      </c>
      <c r="J83" s="7" t="s">
        <v>24</v>
      </c>
      <c r="K83" s="11">
        <f t="shared" si="1"/>
        <v>156750</v>
      </c>
      <c r="L83" s="11">
        <f t="shared" si="2"/>
        <v>165000</v>
      </c>
      <c r="M83" s="12" t="str">
        <f t="shared" si="3"/>
        <v>April</v>
      </c>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row>
    <row r="84" ht="22.5" customHeight="1">
      <c r="A84" s="5" t="s">
        <v>191</v>
      </c>
      <c r="B84" s="15">
        <v>45749.0</v>
      </c>
      <c r="C84" s="5" t="s">
        <v>192</v>
      </c>
      <c r="D84" s="7" t="s">
        <v>28</v>
      </c>
      <c r="E84" s="7" t="s">
        <v>34</v>
      </c>
      <c r="F84" s="8" t="s">
        <v>30</v>
      </c>
      <c r="G84" s="9">
        <v>3.0</v>
      </c>
      <c r="H84" s="9">
        <v>12000.0</v>
      </c>
      <c r="I84" s="9">
        <v>5.0</v>
      </c>
      <c r="J84" s="7" t="s">
        <v>24</v>
      </c>
      <c r="K84" s="11">
        <f t="shared" si="1"/>
        <v>34200</v>
      </c>
      <c r="L84" s="11">
        <f t="shared" si="2"/>
        <v>36000</v>
      </c>
      <c r="M84" s="12" t="str">
        <f t="shared" si="3"/>
        <v>April</v>
      </c>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row>
    <row r="85" ht="22.5" customHeight="1">
      <c r="A85" s="5" t="s">
        <v>193</v>
      </c>
      <c r="B85" s="6">
        <v>45767.0</v>
      </c>
      <c r="C85" s="5" t="s">
        <v>176</v>
      </c>
      <c r="D85" s="7" t="s">
        <v>28</v>
      </c>
      <c r="E85" s="7" t="s">
        <v>22</v>
      </c>
      <c r="F85" s="8" t="s">
        <v>44</v>
      </c>
      <c r="G85" s="9">
        <v>3.0</v>
      </c>
      <c r="H85" s="9">
        <v>7500.0</v>
      </c>
      <c r="I85" s="9">
        <v>6.0</v>
      </c>
      <c r="J85" s="7" t="s">
        <v>18</v>
      </c>
      <c r="K85" s="11" t="str">
        <f t="shared" si="1"/>
        <v/>
      </c>
      <c r="L85" s="11" t="str">
        <f t="shared" si="2"/>
        <v/>
      </c>
      <c r="M85" s="12" t="str">
        <f t="shared" si="3"/>
        <v>April</v>
      </c>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row>
    <row r="86" ht="22.5" customHeight="1">
      <c r="A86" s="5" t="s">
        <v>194</v>
      </c>
      <c r="B86" s="15">
        <v>45755.0</v>
      </c>
      <c r="C86" s="5" t="s">
        <v>195</v>
      </c>
      <c r="D86" s="7" t="s">
        <v>33</v>
      </c>
      <c r="E86" s="7" t="s">
        <v>22</v>
      </c>
      <c r="F86" s="8" t="s">
        <v>74</v>
      </c>
      <c r="G86" s="9">
        <v>3.0</v>
      </c>
      <c r="H86" s="9">
        <v>18000.0</v>
      </c>
      <c r="I86" s="9">
        <v>5.0</v>
      </c>
      <c r="J86" s="7" t="s">
        <v>24</v>
      </c>
      <c r="K86" s="11">
        <f t="shared" si="1"/>
        <v>51300</v>
      </c>
      <c r="L86" s="11">
        <f t="shared" si="2"/>
        <v>54000</v>
      </c>
      <c r="M86" s="12" t="str">
        <f t="shared" si="3"/>
        <v>April</v>
      </c>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row>
    <row r="87" ht="22.5" customHeight="1">
      <c r="A87" s="5" t="s">
        <v>196</v>
      </c>
      <c r="B87" s="23">
        <v>45661.0</v>
      </c>
      <c r="C87" s="5" t="s">
        <v>161</v>
      </c>
      <c r="D87" s="7" t="s">
        <v>28</v>
      </c>
      <c r="E87" s="7" t="s">
        <v>22</v>
      </c>
      <c r="F87" s="8" t="s">
        <v>30</v>
      </c>
      <c r="G87" s="9">
        <v>3.0</v>
      </c>
      <c r="H87" s="9">
        <v>12000.0</v>
      </c>
      <c r="I87" s="9">
        <v>5.0</v>
      </c>
      <c r="J87" s="7" t="s">
        <v>24</v>
      </c>
      <c r="K87" s="11">
        <f t="shared" si="1"/>
        <v>34200</v>
      </c>
      <c r="L87" s="11">
        <f t="shared" si="2"/>
        <v>36000</v>
      </c>
      <c r="M87" s="12" t="str">
        <f t="shared" si="3"/>
        <v>January</v>
      </c>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row>
    <row r="88" ht="22.5" customHeight="1">
      <c r="A88" s="5" t="s">
        <v>197</v>
      </c>
      <c r="B88" s="6">
        <v>45746.0</v>
      </c>
      <c r="C88" s="5" t="s">
        <v>116</v>
      </c>
      <c r="D88" s="7" t="s">
        <v>39</v>
      </c>
      <c r="E88" s="7" t="s">
        <v>125</v>
      </c>
      <c r="F88" s="8" t="s">
        <v>74</v>
      </c>
      <c r="G88" s="9">
        <v>3.0</v>
      </c>
      <c r="H88" s="9">
        <v>18000.0</v>
      </c>
      <c r="I88" s="9">
        <v>5.0</v>
      </c>
      <c r="J88" s="7" t="s">
        <v>24</v>
      </c>
      <c r="K88" s="11">
        <f t="shared" si="1"/>
        <v>51300</v>
      </c>
      <c r="L88" s="11">
        <f t="shared" si="2"/>
        <v>54000</v>
      </c>
      <c r="M88" s="12" t="str">
        <f t="shared" si="3"/>
        <v>March</v>
      </c>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row>
    <row r="89" ht="22.5" customHeight="1">
      <c r="A89" s="5" t="s">
        <v>198</v>
      </c>
      <c r="B89" s="6">
        <v>45703.0</v>
      </c>
      <c r="C89" s="5" t="s">
        <v>174</v>
      </c>
      <c r="D89" s="7" t="s">
        <v>33</v>
      </c>
      <c r="E89" s="7" t="s">
        <v>34</v>
      </c>
      <c r="F89" s="8" t="s">
        <v>30</v>
      </c>
      <c r="G89" s="9">
        <v>3.0</v>
      </c>
      <c r="H89" s="9">
        <v>12000.0</v>
      </c>
      <c r="I89" s="9">
        <v>4.0</v>
      </c>
      <c r="J89" s="7" t="s">
        <v>24</v>
      </c>
      <c r="K89" s="11">
        <f t="shared" si="1"/>
        <v>34560</v>
      </c>
      <c r="L89" s="11">
        <f t="shared" si="2"/>
        <v>36000</v>
      </c>
      <c r="M89" s="12" t="str">
        <f t="shared" si="3"/>
        <v>February</v>
      </c>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row>
    <row r="90" ht="22.5" customHeight="1">
      <c r="A90" s="5" t="s">
        <v>199</v>
      </c>
      <c r="B90" s="6">
        <v>45704.0</v>
      </c>
      <c r="C90" s="5" t="s">
        <v>100</v>
      </c>
      <c r="D90" s="7" t="s">
        <v>33</v>
      </c>
      <c r="E90" s="7" t="s">
        <v>22</v>
      </c>
      <c r="F90" s="8" t="s">
        <v>30</v>
      </c>
      <c r="G90" s="9">
        <v>3.0</v>
      </c>
      <c r="H90" s="9">
        <v>12000.0</v>
      </c>
      <c r="I90" s="9">
        <v>6.0</v>
      </c>
      <c r="J90" s="7" t="s">
        <v>24</v>
      </c>
      <c r="K90" s="11">
        <f t="shared" si="1"/>
        <v>33840</v>
      </c>
      <c r="L90" s="11">
        <f t="shared" si="2"/>
        <v>36000</v>
      </c>
      <c r="M90" s="12" t="str">
        <f t="shared" si="3"/>
        <v>February</v>
      </c>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row>
    <row r="91" ht="22.5" customHeight="1">
      <c r="A91" s="5" t="s">
        <v>200</v>
      </c>
      <c r="B91" s="15">
        <v>45749.0</v>
      </c>
      <c r="C91" s="5" t="s">
        <v>190</v>
      </c>
      <c r="D91" s="7" t="s">
        <v>15</v>
      </c>
      <c r="E91" s="7" t="s">
        <v>43</v>
      </c>
      <c r="F91" s="8" t="s">
        <v>23</v>
      </c>
      <c r="G91" s="9">
        <v>3.0</v>
      </c>
      <c r="H91" s="9">
        <v>9500.0</v>
      </c>
      <c r="I91" s="9">
        <v>6.0</v>
      </c>
      <c r="J91" s="7" t="s">
        <v>24</v>
      </c>
      <c r="K91" s="11">
        <f t="shared" si="1"/>
        <v>26790</v>
      </c>
      <c r="L91" s="11">
        <f t="shared" si="2"/>
        <v>28500</v>
      </c>
      <c r="M91" s="12" t="str">
        <f t="shared" si="3"/>
        <v>April</v>
      </c>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row>
    <row r="92" ht="22.5" customHeight="1">
      <c r="A92" s="5" t="s">
        <v>201</v>
      </c>
      <c r="B92" s="6">
        <v>45735.0</v>
      </c>
      <c r="C92" s="5" t="s">
        <v>202</v>
      </c>
      <c r="D92" s="7" t="s">
        <v>33</v>
      </c>
      <c r="E92" s="7" t="s">
        <v>22</v>
      </c>
      <c r="F92" s="8" t="s">
        <v>74</v>
      </c>
      <c r="G92" s="9">
        <v>4.0</v>
      </c>
      <c r="H92" s="9">
        <v>18000.0</v>
      </c>
      <c r="I92" s="9">
        <v>7.0</v>
      </c>
      <c r="J92" s="7" t="s">
        <v>24</v>
      </c>
      <c r="K92" s="11">
        <f t="shared" si="1"/>
        <v>66960</v>
      </c>
      <c r="L92" s="11">
        <f t="shared" si="2"/>
        <v>72000</v>
      </c>
      <c r="M92" s="12" t="str">
        <f t="shared" si="3"/>
        <v>March</v>
      </c>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row>
    <row r="93" ht="22.5" customHeight="1">
      <c r="A93" s="5" t="s">
        <v>203</v>
      </c>
      <c r="B93" s="6">
        <v>45759.0</v>
      </c>
      <c r="C93" s="5" t="s">
        <v>159</v>
      </c>
      <c r="D93" s="7" t="s">
        <v>15</v>
      </c>
      <c r="E93" s="7" t="s">
        <v>29</v>
      </c>
      <c r="F93" s="8" t="s">
        <v>74</v>
      </c>
      <c r="G93" s="9">
        <v>4.0</v>
      </c>
      <c r="H93" s="9">
        <v>18000.0</v>
      </c>
      <c r="I93" s="9">
        <v>8.0</v>
      </c>
      <c r="J93" s="7" t="s">
        <v>24</v>
      </c>
      <c r="K93" s="11">
        <f t="shared" si="1"/>
        <v>66240</v>
      </c>
      <c r="L93" s="11">
        <f t="shared" si="2"/>
        <v>72000</v>
      </c>
      <c r="M93" s="12" t="str">
        <f t="shared" si="3"/>
        <v>April</v>
      </c>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row>
    <row r="94" ht="22.5" customHeight="1">
      <c r="A94" s="5" t="s">
        <v>204</v>
      </c>
      <c r="B94" s="15">
        <v>45725.0</v>
      </c>
      <c r="C94" s="5" t="s">
        <v>179</v>
      </c>
      <c r="D94" s="7" t="s">
        <v>28</v>
      </c>
      <c r="E94" s="7" t="s">
        <v>40</v>
      </c>
      <c r="F94" s="8" t="s">
        <v>44</v>
      </c>
      <c r="G94" s="9">
        <v>4.0</v>
      </c>
      <c r="H94" s="9">
        <v>7500.0</v>
      </c>
      <c r="I94" s="9">
        <v>4.0</v>
      </c>
      <c r="J94" s="7" t="s">
        <v>18</v>
      </c>
      <c r="K94" s="11" t="str">
        <f t="shared" si="1"/>
        <v/>
      </c>
      <c r="L94" s="11" t="str">
        <f t="shared" si="2"/>
        <v/>
      </c>
      <c r="M94" s="12" t="str">
        <f t="shared" si="3"/>
        <v>March</v>
      </c>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c r="CT94" s="13"/>
    </row>
    <row r="95" ht="22.5" customHeight="1">
      <c r="A95" s="5" t="s">
        <v>205</v>
      </c>
      <c r="B95" s="6">
        <v>45757.0</v>
      </c>
      <c r="C95" s="5" t="s">
        <v>206</v>
      </c>
      <c r="D95" s="7" t="s">
        <v>33</v>
      </c>
      <c r="E95" s="7" t="s">
        <v>43</v>
      </c>
      <c r="F95" s="8" t="s">
        <v>23</v>
      </c>
      <c r="G95" s="9">
        <v>4.0</v>
      </c>
      <c r="H95" s="9">
        <v>9500.0</v>
      </c>
      <c r="I95" s="9">
        <v>7.0</v>
      </c>
      <c r="J95" s="7" t="s">
        <v>18</v>
      </c>
      <c r="K95" s="11" t="str">
        <f t="shared" si="1"/>
        <v/>
      </c>
      <c r="L95" s="11" t="str">
        <f t="shared" si="2"/>
        <v/>
      </c>
      <c r="M95" s="12" t="str">
        <f t="shared" si="3"/>
        <v>April</v>
      </c>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c r="CL95" s="13"/>
      <c r="CM95" s="13"/>
      <c r="CN95" s="13"/>
      <c r="CO95" s="13"/>
      <c r="CP95" s="13"/>
      <c r="CQ95" s="13"/>
      <c r="CR95" s="13"/>
      <c r="CS95" s="13"/>
      <c r="CT95" s="13"/>
    </row>
    <row r="96" ht="22.5" customHeight="1">
      <c r="A96" s="5" t="s">
        <v>207</v>
      </c>
      <c r="B96" s="15">
        <v>45748.0</v>
      </c>
      <c r="C96" s="5" t="s">
        <v>208</v>
      </c>
      <c r="D96" s="7" t="s">
        <v>33</v>
      </c>
      <c r="E96" s="7" t="s">
        <v>22</v>
      </c>
      <c r="F96" s="8" t="s">
        <v>74</v>
      </c>
      <c r="G96" s="9">
        <v>4.0</v>
      </c>
      <c r="H96" s="9">
        <v>18000.0</v>
      </c>
      <c r="I96" s="9">
        <v>8.0</v>
      </c>
      <c r="J96" s="7" t="s">
        <v>24</v>
      </c>
      <c r="K96" s="11">
        <f t="shared" si="1"/>
        <v>66240</v>
      </c>
      <c r="L96" s="11">
        <f t="shared" si="2"/>
        <v>72000</v>
      </c>
      <c r="M96" s="12" t="str">
        <f t="shared" si="3"/>
        <v>April</v>
      </c>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c r="CT96" s="13"/>
    </row>
    <row r="97" ht="22.5" customHeight="1">
      <c r="A97" s="5" t="s">
        <v>209</v>
      </c>
      <c r="B97" s="6">
        <v>45711.0</v>
      </c>
      <c r="C97" s="5" t="s">
        <v>192</v>
      </c>
      <c r="D97" s="7" t="s">
        <v>28</v>
      </c>
      <c r="E97" s="7" t="s">
        <v>34</v>
      </c>
      <c r="F97" s="8" t="s">
        <v>74</v>
      </c>
      <c r="G97" s="9">
        <v>4.0</v>
      </c>
      <c r="H97" s="9">
        <v>18000.0</v>
      </c>
      <c r="I97" s="9">
        <v>8.0</v>
      </c>
      <c r="J97" s="7" t="s">
        <v>24</v>
      </c>
      <c r="K97" s="11">
        <f t="shared" si="1"/>
        <v>66240</v>
      </c>
      <c r="L97" s="11">
        <f t="shared" si="2"/>
        <v>72000</v>
      </c>
      <c r="M97" s="12" t="str">
        <f t="shared" si="3"/>
        <v>February</v>
      </c>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row>
    <row r="98" ht="22.5" customHeight="1">
      <c r="A98" s="5" t="s">
        <v>210</v>
      </c>
      <c r="B98" s="15">
        <v>45756.0</v>
      </c>
      <c r="C98" s="5" t="s">
        <v>22</v>
      </c>
      <c r="D98" s="7" t="s">
        <v>15</v>
      </c>
      <c r="E98" s="7" t="s">
        <v>34</v>
      </c>
      <c r="F98" s="8" t="s">
        <v>74</v>
      </c>
      <c r="G98" s="9">
        <v>4.0</v>
      </c>
      <c r="H98" s="9">
        <v>18000.0</v>
      </c>
      <c r="I98" s="9">
        <v>6.0</v>
      </c>
      <c r="J98" s="7" t="s">
        <v>24</v>
      </c>
      <c r="K98" s="11">
        <f t="shared" si="1"/>
        <v>67680</v>
      </c>
      <c r="L98" s="11">
        <f t="shared" si="2"/>
        <v>72000</v>
      </c>
      <c r="M98" s="12" t="str">
        <f t="shared" si="3"/>
        <v>April</v>
      </c>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c r="CT98" s="13"/>
    </row>
    <row r="99" ht="22.5" customHeight="1">
      <c r="A99" s="5" t="s">
        <v>211</v>
      </c>
      <c r="B99" s="6">
        <v>45765.0</v>
      </c>
      <c r="C99" s="5" t="s">
        <v>195</v>
      </c>
      <c r="D99" s="7" t="s">
        <v>15</v>
      </c>
      <c r="E99" s="7" t="s">
        <v>125</v>
      </c>
      <c r="F99" s="8" t="s">
        <v>30</v>
      </c>
      <c r="G99" s="9">
        <v>4.0</v>
      </c>
      <c r="H99" s="9">
        <v>12000.0</v>
      </c>
      <c r="I99" s="9">
        <v>7.0</v>
      </c>
      <c r="J99" s="7" t="s">
        <v>24</v>
      </c>
      <c r="K99" s="11">
        <f t="shared" si="1"/>
        <v>44640</v>
      </c>
      <c r="L99" s="11">
        <f t="shared" si="2"/>
        <v>48000</v>
      </c>
      <c r="M99" s="12" t="str">
        <f t="shared" si="3"/>
        <v>April</v>
      </c>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c r="CL99" s="13"/>
      <c r="CM99" s="13"/>
      <c r="CN99" s="13"/>
      <c r="CO99" s="13"/>
      <c r="CP99" s="13"/>
      <c r="CQ99" s="13"/>
      <c r="CR99" s="13"/>
      <c r="CS99" s="13"/>
      <c r="CT99" s="13"/>
    </row>
    <row r="100" ht="22.5" customHeight="1">
      <c r="A100" s="5" t="s">
        <v>212</v>
      </c>
      <c r="B100" s="6">
        <v>45746.0</v>
      </c>
      <c r="C100" s="5" t="s">
        <v>206</v>
      </c>
      <c r="D100" s="7" t="s">
        <v>15</v>
      </c>
      <c r="E100" s="7" t="s">
        <v>22</v>
      </c>
      <c r="F100" s="8" t="s">
        <v>23</v>
      </c>
      <c r="G100" s="9">
        <v>4.0</v>
      </c>
      <c r="H100" s="9">
        <v>9500.0</v>
      </c>
      <c r="I100" s="9">
        <v>7.0</v>
      </c>
      <c r="J100" s="7" t="s">
        <v>24</v>
      </c>
      <c r="K100" s="11">
        <f t="shared" si="1"/>
        <v>35340</v>
      </c>
      <c r="L100" s="11">
        <f t="shared" si="2"/>
        <v>38000</v>
      </c>
      <c r="M100" s="12" t="str">
        <f t="shared" si="3"/>
        <v>March</v>
      </c>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c r="CM100" s="13"/>
      <c r="CN100" s="13"/>
      <c r="CO100" s="13"/>
      <c r="CP100" s="13"/>
      <c r="CQ100" s="13"/>
      <c r="CR100" s="13"/>
      <c r="CS100" s="13"/>
      <c r="CT100" s="13"/>
    </row>
    <row r="101" ht="22.5" customHeight="1">
      <c r="A101" s="5" t="s">
        <v>213</v>
      </c>
      <c r="B101" s="15">
        <v>45748.0</v>
      </c>
      <c r="C101" s="5" t="s">
        <v>195</v>
      </c>
      <c r="D101" s="7" t="s">
        <v>33</v>
      </c>
      <c r="E101" s="7" t="s">
        <v>34</v>
      </c>
      <c r="F101" s="8" t="s">
        <v>30</v>
      </c>
      <c r="G101" s="9">
        <v>4.0</v>
      </c>
      <c r="H101" s="9">
        <v>12000.0</v>
      </c>
      <c r="I101" s="9">
        <v>5.0</v>
      </c>
      <c r="J101" s="7" t="s">
        <v>24</v>
      </c>
      <c r="K101" s="11">
        <f t="shared" si="1"/>
        <v>45600</v>
      </c>
      <c r="L101" s="11">
        <f t="shared" si="2"/>
        <v>48000</v>
      </c>
      <c r="M101" s="12" t="str">
        <f t="shared" si="3"/>
        <v>April</v>
      </c>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c r="CO101" s="13"/>
      <c r="CP101" s="13"/>
      <c r="CQ101" s="13"/>
      <c r="CR101" s="13"/>
      <c r="CS101" s="13"/>
      <c r="CT101" s="13"/>
    </row>
    <row r="102" ht="22.5" customHeight="1">
      <c r="A102" s="5" t="s">
        <v>214</v>
      </c>
      <c r="B102" s="6">
        <v>45747.0</v>
      </c>
      <c r="C102" s="5" t="s">
        <v>47</v>
      </c>
      <c r="D102" s="7" t="s">
        <v>15</v>
      </c>
      <c r="E102" s="7" t="s">
        <v>91</v>
      </c>
      <c r="F102" s="8" t="s">
        <v>74</v>
      </c>
      <c r="G102" s="9">
        <v>4.0</v>
      </c>
      <c r="H102" s="9">
        <v>18000.0</v>
      </c>
      <c r="I102" s="9">
        <v>8.0</v>
      </c>
      <c r="J102" s="7" t="s">
        <v>24</v>
      </c>
      <c r="K102" s="11">
        <f t="shared" si="1"/>
        <v>66240</v>
      </c>
      <c r="L102" s="11">
        <f t="shared" si="2"/>
        <v>72000</v>
      </c>
      <c r="M102" s="12" t="str">
        <f t="shared" si="3"/>
        <v>March</v>
      </c>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c r="CP102" s="13"/>
      <c r="CQ102" s="13"/>
      <c r="CR102" s="13"/>
      <c r="CS102" s="13"/>
      <c r="CT102" s="13"/>
    </row>
    <row r="103" ht="22.5" customHeight="1">
      <c r="A103" s="5" t="s">
        <v>215</v>
      </c>
      <c r="B103" s="15">
        <v>45752.0</v>
      </c>
      <c r="C103" s="5" t="s">
        <v>206</v>
      </c>
      <c r="D103" s="7" t="s">
        <v>39</v>
      </c>
      <c r="E103" s="7" t="s">
        <v>125</v>
      </c>
      <c r="F103" s="8" t="s">
        <v>74</v>
      </c>
      <c r="G103" s="9">
        <v>4.0</v>
      </c>
      <c r="H103" s="24" t="s">
        <v>216</v>
      </c>
      <c r="I103" s="9">
        <v>6.0</v>
      </c>
      <c r="J103" s="7" t="s">
        <v>18</v>
      </c>
      <c r="K103" s="11" t="str">
        <f t="shared" si="1"/>
        <v/>
      </c>
      <c r="L103" s="11" t="str">
        <f t="shared" si="2"/>
        <v/>
      </c>
      <c r="M103" s="12" t="str">
        <f t="shared" si="3"/>
        <v>April</v>
      </c>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row>
    <row r="104" ht="22.5" customHeight="1">
      <c r="A104" s="5" t="s">
        <v>217</v>
      </c>
      <c r="B104" s="15">
        <v>45695.0</v>
      </c>
      <c r="C104" s="5" t="s">
        <v>195</v>
      </c>
      <c r="D104" s="7" t="s">
        <v>15</v>
      </c>
      <c r="E104" s="7" t="s">
        <v>34</v>
      </c>
      <c r="F104" s="8" t="s">
        <v>17</v>
      </c>
      <c r="G104" s="9">
        <v>4.0</v>
      </c>
      <c r="H104" s="9">
        <v>55000.0</v>
      </c>
      <c r="I104" s="9">
        <v>7.0</v>
      </c>
      <c r="J104" s="7" t="s">
        <v>24</v>
      </c>
      <c r="K104" s="11">
        <f t="shared" si="1"/>
        <v>204600</v>
      </c>
      <c r="L104" s="11">
        <f t="shared" si="2"/>
        <v>220000</v>
      </c>
      <c r="M104" s="12" t="str">
        <f t="shared" si="3"/>
        <v>February</v>
      </c>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row>
    <row r="105" ht="22.5" customHeight="1">
      <c r="A105" s="5" t="s">
        <v>218</v>
      </c>
      <c r="B105" s="6">
        <v>45765.0</v>
      </c>
      <c r="C105" s="5" t="s">
        <v>219</v>
      </c>
      <c r="D105" s="7" t="s">
        <v>15</v>
      </c>
      <c r="E105" s="7" t="s">
        <v>43</v>
      </c>
      <c r="F105" s="8" t="s">
        <v>44</v>
      </c>
      <c r="G105" s="9">
        <v>4.0</v>
      </c>
      <c r="H105" s="9">
        <v>7500.0</v>
      </c>
      <c r="I105" s="9">
        <v>4.0</v>
      </c>
      <c r="J105" s="7" t="s">
        <v>24</v>
      </c>
      <c r="K105" s="11">
        <f t="shared" si="1"/>
        <v>28800</v>
      </c>
      <c r="L105" s="11">
        <f t="shared" si="2"/>
        <v>30000</v>
      </c>
      <c r="M105" s="12" t="str">
        <f t="shared" si="3"/>
        <v>April</v>
      </c>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c r="CT105" s="13"/>
    </row>
    <row r="106" ht="22.5" customHeight="1">
      <c r="A106" s="5" t="s">
        <v>220</v>
      </c>
      <c r="B106" s="6">
        <v>45710.0</v>
      </c>
      <c r="C106" s="5" t="s">
        <v>168</v>
      </c>
      <c r="D106" s="7" t="s">
        <v>39</v>
      </c>
      <c r="E106" s="7" t="s">
        <v>91</v>
      </c>
      <c r="F106" s="8" t="s">
        <v>23</v>
      </c>
      <c r="G106" s="9">
        <v>4.0</v>
      </c>
      <c r="H106" s="9">
        <v>9500.0</v>
      </c>
      <c r="I106" s="9">
        <v>6.0</v>
      </c>
      <c r="J106" s="7" t="s">
        <v>24</v>
      </c>
      <c r="K106" s="11">
        <f t="shared" si="1"/>
        <v>35720</v>
      </c>
      <c r="L106" s="11">
        <f t="shared" si="2"/>
        <v>38000</v>
      </c>
      <c r="M106" s="12" t="str">
        <f t="shared" si="3"/>
        <v>February</v>
      </c>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row>
    <row r="107" ht="22.5" customHeight="1">
      <c r="A107" s="5" t="s">
        <v>221</v>
      </c>
      <c r="B107" s="6">
        <v>45735.0</v>
      </c>
      <c r="C107" s="5" t="s">
        <v>222</v>
      </c>
      <c r="D107" s="7" t="s">
        <v>39</v>
      </c>
      <c r="E107" s="7" t="s">
        <v>128</v>
      </c>
      <c r="F107" s="8" t="s">
        <v>74</v>
      </c>
      <c r="G107" s="9">
        <v>4.0</v>
      </c>
      <c r="H107" s="9">
        <v>18000.0</v>
      </c>
      <c r="I107" s="9">
        <v>6.0</v>
      </c>
      <c r="J107" s="7" t="s">
        <v>24</v>
      </c>
      <c r="K107" s="11">
        <f t="shared" si="1"/>
        <v>67680</v>
      </c>
      <c r="L107" s="11">
        <f t="shared" si="2"/>
        <v>72000</v>
      </c>
      <c r="M107" s="12" t="str">
        <f t="shared" si="3"/>
        <v>March</v>
      </c>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3"/>
      <c r="CR107" s="13"/>
      <c r="CS107" s="13"/>
      <c r="CT107" s="13"/>
    </row>
    <row r="108" ht="22.5" customHeight="1">
      <c r="A108" s="5" t="s">
        <v>223</v>
      </c>
      <c r="B108" s="6">
        <v>45760.0</v>
      </c>
      <c r="C108" s="5" t="s">
        <v>161</v>
      </c>
      <c r="D108" s="7" t="s">
        <v>28</v>
      </c>
      <c r="E108" s="7" t="s">
        <v>22</v>
      </c>
      <c r="F108" s="8" t="s">
        <v>74</v>
      </c>
      <c r="G108" s="9">
        <v>5.0</v>
      </c>
      <c r="H108" s="9">
        <v>18000.0</v>
      </c>
      <c r="I108" s="9">
        <v>0.0</v>
      </c>
      <c r="J108" s="7" t="s">
        <v>24</v>
      </c>
      <c r="K108" s="11">
        <f t="shared" si="1"/>
        <v>90000</v>
      </c>
      <c r="L108" s="11">
        <f t="shared" si="2"/>
        <v>90000</v>
      </c>
      <c r="M108" s="12" t="str">
        <f t="shared" si="3"/>
        <v>April</v>
      </c>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c r="CM108" s="13"/>
      <c r="CN108" s="13"/>
      <c r="CO108" s="13"/>
      <c r="CP108" s="13"/>
      <c r="CQ108" s="13"/>
      <c r="CR108" s="13"/>
      <c r="CS108" s="13"/>
      <c r="CT108" s="13"/>
    </row>
    <row r="109" ht="22.5" customHeight="1">
      <c r="A109" s="5" t="s">
        <v>224</v>
      </c>
      <c r="B109" s="6">
        <v>45767.0</v>
      </c>
      <c r="C109" s="5" t="s">
        <v>225</v>
      </c>
      <c r="D109" s="7" t="s">
        <v>15</v>
      </c>
      <c r="E109" s="7" t="s">
        <v>34</v>
      </c>
      <c r="F109" s="8" t="s">
        <v>23</v>
      </c>
      <c r="G109" s="9">
        <v>5.0</v>
      </c>
      <c r="H109" s="9">
        <v>9500.0</v>
      </c>
      <c r="I109" s="9">
        <v>2.0</v>
      </c>
      <c r="J109" s="7" t="s">
        <v>126</v>
      </c>
      <c r="K109" s="11" t="str">
        <f t="shared" si="1"/>
        <v/>
      </c>
      <c r="L109" s="11" t="str">
        <f t="shared" si="2"/>
        <v/>
      </c>
      <c r="M109" s="12" t="str">
        <f t="shared" si="3"/>
        <v>April</v>
      </c>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c r="CM109" s="13"/>
      <c r="CN109" s="13"/>
      <c r="CO109" s="13"/>
      <c r="CP109" s="13"/>
      <c r="CQ109" s="13"/>
      <c r="CR109" s="13"/>
      <c r="CS109" s="13"/>
      <c r="CT109" s="13"/>
    </row>
    <row r="110" ht="22.5" customHeight="1">
      <c r="A110" s="5" t="s">
        <v>226</v>
      </c>
      <c r="B110" s="15">
        <v>45719.0</v>
      </c>
      <c r="C110" s="5" t="s">
        <v>227</v>
      </c>
      <c r="D110" s="7" t="s">
        <v>39</v>
      </c>
      <c r="E110" s="7" t="s">
        <v>125</v>
      </c>
      <c r="F110" s="8" t="s">
        <v>74</v>
      </c>
      <c r="G110" s="9">
        <v>5.0</v>
      </c>
      <c r="H110" s="9">
        <v>18000.0</v>
      </c>
      <c r="I110" s="9">
        <v>6.0</v>
      </c>
      <c r="J110" s="7" t="s">
        <v>126</v>
      </c>
      <c r="K110" s="11" t="str">
        <f t="shared" si="1"/>
        <v/>
      </c>
      <c r="L110" s="11" t="str">
        <f t="shared" si="2"/>
        <v/>
      </c>
      <c r="M110" s="12" t="str">
        <f t="shared" si="3"/>
        <v>March</v>
      </c>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c r="CM110" s="13"/>
      <c r="CN110" s="13"/>
      <c r="CO110" s="13"/>
      <c r="CP110" s="13"/>
      <c r="CQ110" s="13"/>
      <c r="CR110" s="13"/>
      <c r="CS110" s="13"/>
      <c r="CT110" s="13"/>
    </row>
    <row r="111" ht="22.5" customHeight="1">
      <c r="A111" s="5" t="s">
        <v>228</v>
      </c>
      <c r="B111" s="6">
        <v>45702.0</v>
      </c>
      <c r="C111" s="5" t="s">
        <v>195</v>
      </c>
      <c r="D111" s="7" t="s">
        <v>15</v>
      </c>
      <c r="E111" s="7" t="s">
        <v>34</v>
      </c>
      <c r="F111" s="8" t="s">
        <v>17</v>
      </c>
      <c r="G111" s="9">
        <v>5.0</v>
      </c>
      <c r="H111" s="9">
        <v>55000.0</v>
      </c>
      <c r="I111" s="9">
        <v>7.0</v>
      </c>
      <c r="J111" s="7" t="s">
        <v>24</v>
      </c>
      <c r="K111" s="11">
        <f t="shared" si="1"/>
        <v>255750</v>
      </c>
      <c r="L111" s="11">
        <f t="shared" si="2"/>
        <v>275000</v>
      </c>
      <c r="M111" s="12" t="str">
        <f t="shared" si="3"/>
        <v>February</v>
      </c>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c r="CM111" s="13"/>
      <c r="CN111" s="13"/>
      <c r="CO111" s="13"/>
      <c r="CP111" s="13"/>
      <c r="CQ111" s="13"/>
      <c r="CR111" s="13"/>
      <c r="CS111" s="13"/>
      <c r="CT111" s="13"/>
    </row>
    <row r="112" ht="22.5" customHeight="1">
      <c r="A112" s="5" t="s">
        <v>229</v>
      </c>
      <c r="B112" s="6">
        <v>45759.0</v>
      </c>
      <c r="C112" s="5" t="s">
        <v>82</v>
      </c>
      <c r="D112" s="7" t="s">
        <v>33</v>
      </c>
      <c r="E112" s="7" t="s">
        <v>125</v>
      </c>
      <c r="F112" s="8" t="s">
        <v>74</v>
      </c>
      <c r="G112" s="9">
        <v>5.0</v>
      </c>
      <c r="H112" s="9">
        <v>18000.0</v>
      </c>
      <c r="I112" s="9">
        <v>3.0</v>
      </c>
      <c r="J112" s="7" t="s">
        <v>24</v>
      </c>
      <c r="K112" s="11">
        <f t="shared" si="1"/>
        <v>87300</v>
      </c>
      <c r="L112" s="11">
        <f t="shared" si="2"/>
        <v>90000</v>
      </c>
      <c r="M112" s="12" t="str">
        <f t="shared" si="3"/>
        <v>April</v>
      </c>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c r="CM112" s="13"/>
      <c r="CN112" s="13"/>
      <c r="CO112" s="13"/>
      <c r="CP112" s="13"/>
      <c r="CQ112" s="13"/>
      <c r="CR112" s="13"/>
      <c r="CS112" s="13"/>
      <c r="CT112" s="13"/>
    </row>
    <row r="113" ht="22.5" customHeight="1">
      <c r="A113" s="5" t="s">
        <v>230</v>
      </c>
      <c r="B113" s="6">
        <v>45758.0</v>
      </c>
      <c r="C113" s="5" t="s">
        <v>231</v>
      </c>
      <c r="D113" s="7" t="s">
        <v>39</v>
      </c>
      <c r="E113" s="7" t="s">
        <v>34</v>
      </c>
      <c r="F113" s="8" t="s">
        <v>74</v>
      </c>
      <c r="G113" s="9">
        <v>5.0</v>
      </c>
      <c r="H113" s="9">
        <v>18000.0</v>
      </c>
      <c r="I113" s="9">
        <v>6.0</v>
      </c>
      <c r="J113" s="7" t="s">
        <v>24</v>
      </c>
      <c r="K113" s="11">
        <f t="shared" si="1"/>
        <v>84600</v>
      </c>
      <c r="L113" s="11">
        <f t="shared" si="2"/>
        <v>90000</v>
      </c>
      <c r="M113" s="12" t="str">
        <f t="shared" si="3"/>
        <v>April</v>
      </c>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c r="CM113" s="13"/>
      <c r="CN113" s="13"/>
      <c r="CO113" s="13"/>
      <c r="CP113" s="13"/>
      <c r="CQ113" s="13"/>
      <c r="CR113" s="13"/>
      <c r="CS113" s="13"/>
      <c r="CT113" s="13"/>
    </row>
    <row r="114" ht="22.5" customHeight="1">
      <c r="A114" s="5" t="s">
        <v>232</v>
      </c>
      <c r="B114" s="6">
        <v>45702.0</v>
      </c>
      <c r="C114" s="5" t="s">
        <v>195</v>
      </c>
      <c r="D114" s="7" t="s">
        <v>28</v>
      </c>
      <c r="E114" s="7" t="s">
        <v>34</v>
      </c>
      <c r="F114" s="8" t="s">
        <v>17</v>
      </c>
      <c r="G114" s="9">
        <v>5.0</v>
      </c>
      <c r="H114" s="9">
        <v>55000.0</v>
      </c>
      <c r="I114" s="9">
        <v>7.0</v>
      </c>
      <c r="J114" s="7" t="s">
        <v>24</v>
      </c>
      <c r="K114" s="11">
        <f t="shared" si="1"/>
        <v>255750</v>
      </c>
      <c r="L114" s="11">
        <f t="shared" si="2"/>
        <v>275000</v>
      </c>
      <c r="M114" s="12" t="str">
        <f t="shared" si="3"/>
        <v>February</v>
      </c>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c r="CM114" s="13"/>
      <c r="CN114" s="13"/>
      <c r="CO114" s="13"/>
      <c r="CP114" s="13"/>
      <c r="CQ114" s="13"/>
      <c r="CR114" s="13"/>
      <c r="CS114" s="13"/>
      <c r="CT114" s="13"/>
    </row>
    <row r="115" ht="22.5" customHeight="1">
      <c r="A115" s="5" t="s">
        <v>233</v>
      </c>
      <c r="B115" s="15">
        <v>45754.0</v>
      </c>
      <c r="C115" s="5" t="s">
        <v>32</v>
      </c>
      <c r="D115" s="7" t="s">
        <v>39</v>
      </c>
      <c r="E115" s="7" t="s">
        <v>34</v>
      </c>
      <c r="F115" s="8" t="s">
        <v>74</v>
      </c>
      <c r="G115" s="9">
        <v>5.0</v>
      </c>
      <c r="H115" s="9">
        <v>18000.0</v>
      </c>
      <c r="I115" s="9">
        <v>7.0</v>
      </c>
      <c r="J115" s="7" t="s">
        <v>18</v>
      </c>
      <c r="K115" s="11" t="str">
        <f t="shared" si="1"/>
        <v/>
      </c>
      <c r="L115" s="11" t="str">
        <f t="shared" si="2"/>
        <v/>
      </c>
      <c r="M115" s="12" t="str">
        <f t="shared" si="3"/>
        <v>April</v>
      </c>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c r="CM115" s="13"/>
      <c r="CN115" s="13"/>
      <c r="CO115" s="13"/>
      <c r="CP115" s="13"/>
      <c r="CQ115" s="13"/>
      <c r="CR115" s="13"/>
      <c r="CS115" s="13"/>
      <c r="CT115" s="13"/>
    </row>
    <row r="116" ht="22.5" customHeight="1">
      <c r="A116" s="5" t="s">
        <v>234</v>
      </c>
      <c r="B116" s="15">
        <v>45723.0</v>
      </c>
      <c r="C116" s="5" t="s">
        <v>195</v>
      </c>
      <c r="D116" s="7" t="s">
        <v>15</v>
      </c>
      <c r="E116" s="7" t="s">
        <v>88</v>
      </c>
      <c r="F116" s="8" t="s">
        <v>74</v>
      </c>
      <c r="G116" s="9">
        <v>6.0</v>
      </c>
      <c r="H116" s="9">
        <v>18000.0</v>
      </c>
      <c r="I116" s="9">
        <v>8.0</v>
      </c>
      <c r="J116" s="7" t="s">
        <v>18</v>
      </c>
      <c r="K116" s="11" t="str">
        <f t="shared" si="1"/>
        <v/>
      </c>
      <c r="L116" s="11" t="str">
        <f t="shared" si="2"/>
        <v/>
      </c>
      <c r="M116" s="12" t="str">
        <f t="shared" si="3"/>
        <v>March</v>
      </c>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c r="CM116" s="13"/>
      <c r="CN116" s="13"/>
      <c r="CO116" s="13"/>
      <c r="CP116" s="13"/>
      <c r="CQ116" s="13"/>
      <c r="CR116" s="13"/>
      <c r="CS116" s="13"/>
      <c r="CT116" s="13"/>
    </row>
    <row r="117" ht="22.5" customHeight="1">
      <c r="A117" s="5" t="s">
        <v>235</v>
      </c>
      <c r="B117" s="6">
        <v>45702.0</v>
      </c>
      <c r="C117" s="5" t="s">
        <v>174</v>
      </c>
      <c r="D117" s="7" t="s">
        <v>28</v>
      </c>
      <c r="E117" s="7" t="s">
        <v>22</v>
      </c>
      <c r="F117" s="8" t="s">
        <v>74</v>
      </c>
      <c r="G117" s="9">
        <v>6.0</v>
      </c>
      <c r="H117" s="9">
        <v>18000.0</v>
      </c>
      <c r="I117" s="9">
        <v>8.0</v>
      </c>
      <c r="J117" s="7" t="s">
        <v>18</v>
      </c>
      <c r="K117" s="11" t="str">
        <f t="shared" si="1"/>
        <v/>
      </c>
      <c r="L117" s="11" t="str">
        <f t="shared" si="2"/>
        <v/>
      </c>
      <c r="M117" s="12" t="str">
        <f t="shared" si="3"/>
        <v>February</v>
      </c>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c r="CM117" s="13"/>
      <c r="CN117" s="13"/>
      <c r="CO117" s="13"/>
      <c r="CP117" s="13"/>
      <c r="CQ117" s="13"/>
      <c r="CR117" s="13"/>
      <c r="CS117" s="13"/>
      <c r="CT117" s="13"/>
    </row>
    <row r="118" ht="22.5" customHeight="1">
      <c r="A118" s="5" t="s">
        <v>236</v>
      </c>
      <c r="B118" s="15">
        <v>45718.0</v>
      </c>
      <c r="C118" s="5" t="s">
        <v>237</v>
      </c>
      <c r="D118" s="7" t="s">
        <v>39</v>
      </c>
      <c r="E118" s="7" t="s">
        <v>22</v>
      </c>
      <c r="F118" s="8" t="s">
        <v>74</v>
      </c>
      <c r="G118" s="9">
        <v>6.0</v>
      </c>
      <c r="H118" s="9">
        <v>18000.0</v>
      </c>
      <c r="I118" s="9">
        <v>8.0</v>
      </c>
      <c r="J118" s="7" t="s">
        <v>24</v>
      </c>
      <c r="K118" s="11">
        <f t="shared" si="1"/>
        <v>99360</v>
      </c>
      <c r="L118" s="11">
        <f t="shared" si="2"/>
        <v>108000</v>
      </c>
      <c r="M118" s="12" t="str">
        <f t="shared" si="3"/>
        <v>March</v>
      </c>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c r="CM118" s="13"/>
      <c r="CN118" s="13"/>
      <c r="CO118" s="13"/>
      <c r="CP118" s="13"/>
      <c r="CQ118" s="13"/>
      <c r="CR118" s="13"/>
      <c r="CS118" s="13"/>
      <c r="CT118" s="13"/>
    </row>
    <row r="119" ht="22.5" customHeight="1">
      <c r="A119" s="5" t="s">
        <v>238</v>
      </c>
      <c r="B119" s="6">
        <v>45737.0</v>
      </c>
      <c r="C119" s="5" t="s">
        <v>239</v>
      </c>
      <c r="D119" s="7" t="s">
        <v>28</v>
      </c>
      <c r="E119" s="7" t="s">
        <v>22</v>
      </c>
      <c r="F119" s="8" t="s">
        <v>74</v>
      </c>
      <c r="G119" s="9">
        <v>6.0</v>
      </c>
      <c r="H119" s="9">
        <v>18000.0</v>
      </c>
      <c r="I119" s="9">
        <v>5.0</v>
      </c>
      <c r="J119" s="7" t="s">
        <v>24</v>
      </c>
      <c r="K119" s="11">
        <f t="shared" si="1"/>
        <v>102600</v>
      </c>
      <c r="L119" s="11">
        <f t="shared" si="2"/>
        <v>108000</v>
      </c>
      <c r="M119" s="12" t="str">
        <f t="shared" si="3"/>
        <v>March</v>
      </c>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c r="CL119" s="13"/>
      <c r="CM119" s="13"/>
      <c r="CN119" s="13"/>
      <c r="CO119" s="13"/>
      <c r="CP119" s="13"/>
      <c r="CQ119" s="13"/>
      <c r="CR119" s="13"/>
      <c r="CS119" s="13"/>
      <c r="CT119" s="13"/>
    </row>
    <row r="120" ht="22.5" customHeight="1">
      <c r="A120" s="5" t="s">
        <v>240</v>
      </c>
      <c r="B120" s="15">
        <v>45696.0</v>
      </c>
      <c r="C120" s="5" t="s">
        <v>202</v>
      </c>
      <c r="D120" s="7" t="s">
        <v>39</v>
      </c>
      <c r="E120" s="7" t="s">
        <v>43</v>
      </c>
      <c r="F120" s="8" t="s">
        <v>74</v>
      </c>
      <c r="G120" s="9">
        <v>6.0</v>
      </c>
      <c r="H120" s="9">
        <v>18000.0</v>
      </c>
      <c r="I120" s="9">
        <v>8.0</v>
      </c>
      <c r="J120" s="7" t="s">
        <v>24</v>
      </c>
      <c r="K120" s="11">
        <f t="shared" si="1"/>
        <v>99360</v>
      </c>
      <c r="L120" s="11">
        <f t="shared" si="2"/>
        <v>108000</v>
      </c>
      <c r="M120" s="12" t="str">
        <f t="shared" si="3"/>
        <v>February</v>
      </c>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c r="CL120" s="13"/>
      <c r="CM120" s="13"/>
      <c r="CN120" s="13"/>
      <c r="CO120" s="13"/>
      <c r="CP120" s="13"/>
      <c r="CQ120" s="13"/>
      <c r="CR120" s="13"/>
      <c r="CS120" s="13"/>
      <c r="CT120" s="13"/>
    </row>
    <row r="121" ht="22.5" customHeight="1">
      <c r="A121" s="5" t="s">
        <v>241</v>
      </c>
      <c r="B121" s="15">
        <v>45718.0</v>
      </c>
      <c r="C121" s="5" t="s">
        <v>242</v>
      </c>
      <c r="D121" s="7" t="s">
        <v>28</v>
      </c>
      <c r="E121" s="7" t="s">
        <v>40</v>
      </c>
      <c r="F121" s="8" t="s">
        <v>44</v>
      </c>
      <c r="G121" s="9">
        <v>6.0</v>
      </c>
      <c r="H121" s="9">
        <v>7500.0</v>
      </c>
      <c r="I121" s="9">
        <v>5.0</v>
      </c>
      <c r="J121" s="10" t="s">
        <v>18</v>
      </c>
      <c r="K121" s="11" t="str">
        <f t="shared" si="1"/>
        <v/>
      </c>
      <c r="L121" s="11" t="str">
        <f t="shared" si="2"/>
        <v/>
      </c>
      <c r="M121" s="12" t="str">
        <f t="shared" si="3"/>
        <v>March</v>
      </c>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c r="CM121" s="13"/>
      <c r="CN121" s="13"/>
      <c r="CO121" s="13"/>
      <c r="CP121" s="13"/>
      <c r="CQ121" s="13"/>
      <c r="CR121" s="13"/>
      <c r="CS121" s="13"/>
      <c r="CT121" s="13"/>
    </row>
    <row r="122" ht="22.5" customHeight="1">
      <c r="A122" s="5" t="s">
        <v>243</v>
      </c>
      <c r="B122" s="15">
        <v>45751.0</v>
      </c>
      <c r="C122" s="5" t="s">
        <v>244</v>
      </c>
      <c r="D122" s="7" t="s">
        <v>28</v>
      </c>
      <c r="E122" s="7" t="s">
        <v>43</v>
      </c>
      <c r="F122" s="8" t="s">
        <v>74</v>
      </c>
      <c r="G122" s="9">
        <v>6.0</v>
      </c>
      <c r="H122" s="9">
        <v>18000.0</v>
      </c>
      <c r="I122" s="9">
        <v>8.0</v>
      </c>
      <c r="J122" s="7" t="s">
        <v>18</v>
      </c>
      <c r="K122" s="11" t="str">
        <f t="shared" si="1"/>
        <v/>
      </c>
      <c r="L122" s="11" t="str">
        <f t="shared" si="2"/>
        <v/>
      </c>
      <c r="M122" s="12" t="str">
        <f t="shared" si="3"/>
        <v>April</v>
      </c>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c r="CL122" s="13"/>
      <c r="CM122" s="13"/>
      <c r="CN122" s="13"/>
      <c r="CO122" s="13"/>
      <c r="CP122" s="13"/>
      <c r="CQ122" s="13"/>
      <c r="CR122" s="13"/>
      <c r="CS122" s="13"/>
      <c r="CT122" s="13"/>
    </row>
    <row r="123" ht="22.5" customHeight="1">
      <c r="A123" s="5" t="s">
        <v>245</v>
      </c>
      <c r="B123" s="15">
        <v>45717.0</v>
      </c>
      <c r="C123" s="5" t="s">
        <v>202</v>
      </c>
      <c r="D123" s="7" t="s">
        <v>28</v>
      </c>
      <c r="E123" s="7" t="s">
        <v>91</v>
      </c>
      <c r="F123" s="8" t="s">
        <v>74</v>
      </c>
      <c r="G123" s="9">
        <v>6.0</v>
      </c>
      <c r="H123" s="9">
        <v>18000.0</v>
      </c>
      <c r="I123" s="9">
        <v>8.0</v>
      </c>
      <c r="J123" s="7" t="s">
        <v>24</v>
      </c>
      <c r="K123" s="11">
        <f t="shared" si="1"/>
        <v>99360</v>
      </c>
      <c r="L123" s="11">
        <f t="shared" si="2"/>
        <v>108000</v>
      </c>
      <c r="M123" s="12" t="str">
        <f t="shared" si="3"/>
        <v>March</v>
      </c>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c r="CM123" s="13"/>
      <c r="CN123" s="13"/>
      <c r="CO123" s="13"/>
      <c r="CP123" s="13"/>
      <c r="CQ123" s="13"/>
      <c r="CR123" s="13"/>
      <c r="CS123" s="13"/>
      <c r="CT123" s="13"/>
    </row>
    <row r="124" ht="22.5" customHeight="1">
      <c r="A124" s="5" t="s">
        <v>246</v>
      </c>
      <c r="B124" s="6">
        <v>45705.0</v>
      </c>
      <c r="C124" s="5" t="s">
        <v>195</v>
      </c>
      <c r="D124" s="7" t="s">
        <v>39</v>
      </c>
      <c r="E124" s="7" t="s">
        <v>22</v>
      </c>
      <c r="F124" s="8" t="s">
        <v>74</v>
      </c>
      <c r="G124" s="9">
        <v>6.0</v>
      </c>
      <c r="H124" s="9">
        <v>18000.0</v>
      </c>
      <c r="I124" s="9">
        <v>8.0</v>
      </c>
      <c r="J124" s="7" t="s">
        <v>24</v>
      </c>
      <c r="K124" s="11">
        <f t="shared" si="1"/>
        <v>99360</v>
      </c>
      <c r="L124" s="11">
        <f t="shared" si="2"/>
        <v>108000</v>
      </c>
      <c r="M124" s="12" t="str">
        <f t="shared" si="3"/>
        <v>February</v>
      </c>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3"/>
      <c r="CM124" s="13"/>
      <c r="CN124" s="13"/>
      <c r="CO124" s="13"/>
      <c r="CP124" s="13"/>
      <c r="CQ124" s="13"/>
      <c r="CR124" s="13"/>
      <c r="CS124" s="13"/>
      <c r="CT124" s="13"/>
    </row>
    <row r="125" ht="22.5" customHeight="1">
      <c r="A125" s="5" t="s">
        <v>247</v>
      </c>
      <c r="B125" s="15">
        <v>45749.0</v>
      </c>
      <c r="C125" s="5" t="s">
        <v>248</v>
      </c>
      <c r="D125" s="7" t="s">
        <v>28</v>
      </c>
      <c r="E125" s="7" t="s">
        <v>22</v>
      </c>
      <c r="F125" s="8" t="s">
        <v>17</v>
      </c>
      <c r="G125" s="9">
        <v>7.0</v>
      </c>
      <c r="H125" s="9">
        <v>55000.0</v>
      </c>
      <c r="I125" s="9">
        <v>1.0</v>
      </c>
      <c r="J125" s="7" t="s">
        <v>126</v>
      </c>
      <c r="K125" s="11" t="str">
        <f t="shared" si="1"/>
        <v/>
      </c>
      <c r="L125" s="11" t="str">
        <f t="shared" si="2"/>
        <v/>
      </c>
      <c r="M125" s="12" t="str">
        <f t="shared" si="3"/>
        <v>April</v>
      </c>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c r="CM125" s="13"/>
      <c r="CN125" s="13"/>
      <c r="CO125" s="13"/>
      <c r="CP125" s="13"/>
      <c r="CQ125" s="13"/>
      <c r="CR125" s="13"/>
      <c r="CS125" s="13"/>
      <c r="CT125" s="13"/>
    </row>
    <row r="126" ht="22.5" customHeight="1">
      <c r="A126" s="5" t="s">
        <v>249</v>
      </c>
      <c r="B126" s="6">
        <v>45730.0</v>
      </c>
      <c r="C126" s="5" t="s">
        <v>222</v>
      </c>
      <c r="D126" s="7" t="s">
        <v>15</v>
      </c>
      <c r="E126" s="7" t="s">
        <v>34</v>
      </c>
      <c r="F126" s="8" t="s">
        <v>74</v>
      </c>
      <c r="G126" s="9">
        <v>7.0</v>
      </c>
      <c r="H126" s="9">
        <v>18000.0</v>
      </c>
      <c r="I126" s="9">
        <v>4.0</v>
      </c>
      <c r="J126" s="7" t="s">
        <v>24</v>
      </c>
      <c r="K126" s="11">
        <f t="shared" si="1"/>
        <v>120960</v>
      </c>
      <c r="L126" s="11">
        <f t="shared" si="2"/>
        <v>126000</v>
      </c>
      <c r="M126" s="12" t="str">
        <f t="shared" si="3"/>
        <v>March</v>
      </c>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c r="CM126" s="13"/>
      <c r="CN126" s="13"/>
      <c r="CO126" s="13"/>
      <c r="CP126" s="13"/>
      <c r="CQ126" s="13"/>
      <c r="CR126" s="13"/>
      <c r="CS126" s="13"/>
      <c r="CT126" s="13"/>
    </row>
    <row r="127" ht="22.5" customHeight="1">
      <c r="A127" s="5" t="s">
        <v>250</v>
      </c>
      <c r="B127" s="6">
        <v>45763.0</v>
      </c>
      <c r="C127" s="5" t="s">
        <v>248</v>
      </c>
      <c r="D127" s="7" t="s">
        <v>28</v>
      </c>
      <c r="E127" s="7" t="s">
        <v>22</v>
      </c>
      <c r="F127" s="8" t="s">
        <v>17</v>
      </c>
      <c r="G127" s="9">
        <v>7.0</v>
      </c>
      <c r="H127" s="9">
        <v>55000.0</v>
      </c>
      <c r="I127" s="9">
        <v>1.0</v>
      </c>
      <c r="J127" s="7" t="s">
        <v>24</v>
      </c>
      <c r="K127" s="11">
        <f t="shared" si="1"/>
        <v>381150</v>
      </c>
      <c r="L127" s="11">
        <f t="shared" si="2"/>
        <v>385000</v>
      </c>
      <c r="M127" s="12" t="str">
        <f t="shared" si="3"/>
        <v>April</v>
      </c>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c r="CM127" s="13"/>
      <c r="CN127" s="13"/>
      <c r="CO127" s="13"/>
      <c r="CP127" s="13"/>
      <c r="CQ127" s="13"/>
      <c r="CR127" s="13"/>
      <c r="CS127" s="13"/>
      <c r="CT127" s="13"/>
    </row>
  </sheetData>
  <dataValidations>
    <dataValidation type="list" allowBlank="1" showDropDown="1" showErrorMessage="1" sqref="J2:J127">
      <formula1>"Paid,Pending,Unpaid"</formula1>
    </dataValidation>
    <dataValidation type="list" allowBlank="1" showDropDown="1" showErrorMessage="1" sqref="D2:D127">
      <formula1>"South,North,West,East"</formula1>
    </dataValidation>
    <dataValidation type="custom" allowBlank="1" showDropDown="1" sqref="F2:F127">
      <formula1>OR(NOT(ISERROR(DATEVALUE(F2))), AND(ISNUMBER(F2), LEFT(CELL("format", F2))="D"))</formula1>
    </dataValidation>
    <dataValidation type="list" allowBlank="1" showDropDown="1" showErrorMessage="1" sqref="E2:E127">
      <formula1>"Neha Sharma,RIYA GUPTA,srikanth verma,Srikanth Verma,Anita Joseph,RAHUL NAIR,Rahul Nair,ANITA JOSEPH,neha sharma,NEHA SHARMA"</formula1>
    </dataValidation>
    <dataValidation type="custom" allowBlank="1" showDropDown="1" sqref="G2:I127 K2:L127">
      <formula1>AND(ISNUMBER(G2),(NOT(OR(NOT(ISERROR(DATEVALUE(G2))), AND(ISNUMBER(G2), LEFT(CELL("format", G2))="D")))))</formula1>
    </dataValidation>
  </dataValidations>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8"/>
    <col customWidth="1" min="2" max="2" width="87.13"/>
  </cols>
  <sheetData>
    <row r="1">
      <c r="A1" s="25" t="s">
        <v>251</v>
      </c>
      <c r="B1" s="26" t="s">
        <v>252</v>
      </c>
      <c r="C1" s="27"/>
      <c r="D1" s="13"/>
      <c r="E1" s="13"/>
      <c r="F1" s="13"/>
      <c r="G1" s="13"/>
      <c r="H1" s="13"/>
      <c r="I1" s="13"/>
      <c r="J1" s="13"/>
      <c r="K1" s="13"/>
      <c r="L1" s="13"/>
      <c r="M1" s="13"/>
      <c r="N1" s="13"/>
      <c r="O1" s="13"/>
      <c r="P1" s="13"/>
      <c r="Q1" s="13"/>
      <c r="R1" s="13"/>
      <c r="S1" s="13"/>
      <c r="T1" s="13"/>
      <c r="U1" s="13"/>
      <c r="V1" s="13"/>
      <c r="W1" s="13"/>
      <c r="X1" s="13"/>
      <c r="Y1" s="13"/>
    </row>
    <row r="2">
      <c r="A2" s="28" t="s">
        <v>253</v>
      </c>
      <c r="B2" s="17" t="s">
        <v>254</v>
      </c>
      <c r="C2" s="13"/>
      <c r="D2" s="13"/>
      <c r="E2" s="13"/>
      <c r="F2" s="13"/>
      <c r="G2" s="13"/>
      <c r="H2" s="13"/>
      <c r="I2" s="13"/>
      <c r="J2" s="13"/>
      <c r="K2" s="13"/>
      <c r="L2" s="13"/>
      <c r="M2" s="13"/>
      <c r="N2" s="13"/>
      <c r="O2" s="13"/>
      <c r="P2" s="13"/>
      <c r="Q2" s="13"/>
      <c r="R2" s="13"/>
      <c r="S2" s="13"/>
      <c r="T2" s="13"/>
      <c r="U2" s="13"/>
      <c r="V2" s="13"/>
      <c r="W2" s="13"/>
      <c r="X2" s="13"/>
      <c r="Y2" s="13"/>
    </row>
    <row r="3">
      <c r="A3" s="28" t="s">
        <v>255</v>
      </c>
      <c r="B3" s="17" t="s">
        <v>256</v>
      </c>
      <c r="C3" s="13"/>
      <c r="D3" s="13"/>
      <c r="E3" s="13"/>
      <c r="F3" s="13"/>
      <c r="G3" s="13"/>
      <c r="H3" s="13"/>
      <c r="I3" s="13"/>
      <c r="J3" s="13"/>
      <c r="K3" s="13"/>
      <c r="L3" s="13"/>
      <c r="M3" s="13"/>
      <c r="N3" s="13"/>
      <c r="O3" s="13"/>
      <c r="P3" s="13"/>
      <c r="Q3" s="13"/>
      <c r="R3" s="13"/>
      <c r="S3" s="13"/>
      <c r="T3" s="13"/>
      <c r="U3" s="13"/>
      <c r="V3" s="13"/>
      <c r="W3" s="13"/>
      <c r="X3" s="13"/>
      <c r="Y3" s="13"/>
    </row>
    <row r="4">
      <c r="A4" s="29" t="s">
        <v>257</v>
      </c>
      <c r="B4" s="17" t="s">
        <v>258</v>
      </c>
      <c r="C4" s="13"/>
      <c r="D4" s="13"/>
      <c r="E4" s="13"/>
      <c r="F4" s="13"/>
      <c r="G4" s="13"/>
      <c r="H4" s="13"/>
      <c r="I4" s="13"/>
      <c r="J4" s="13"/>
      <c r="K4" s="13"/>
      <c r="L4" s="13"/>
      <c r="M4" s="13"/>
      <c r="N4" s="13"/>
      <c r="O4" s="13"/>
      <c r="P4" s="13"/>
      <c r="Q4" s="13"/>
      <c r="R4" s="13"/>
      <c r="S4" s="13"/>
      <c r="T4" s="13"/>
      <c r="U4" s="13"/>
      <c r="V4" s="13"/>
      <c r="W4" s="13"/>
      <c r="X4" s="13"/>
      <c r="Y4" s="13"/>
    </row>
    <row r="5">
      <c r="A5" s="30" t="s">
        <v>259</v>
      </c>
      <c r="B5" s="17" t="s">
        <v>260</v>
      </c>
      <c r="C5" s="13"/>
      <c r="D5" s="13"/>
      <c r="E5" s="13"/>
      <c r="F5" s="13"/>
      <c r="G5" s="13"/>
      <c r="H5" s="13"/>
      <c r="I5" s="13"/>
      <c r="J5" s="13"/>
      <c r="K5" s="13"/>
      <c r="L5" s="13"/>
      <c r="M5" s="13"/>
      <c r="N5" s="13"/>
      <c r="O5" s="13"/>
      <c r="P5" s="13"/>
      <c r="Q5" s="13"/>
      <c r="R5" s="13"/>
      <c r="S5" s="13"/>
      <c r="T5" s="13"/>
      <c r="U5" s="13"/>
      <c r="V5" s="13"/>
      <c r="W5" s="13"/>
      <c r="X5" s="13"/>
      <c r="Y5" s="13"/>
    </row>
    <row r="6">
      <c r="A6" s="30" t="s">
        <v>261</v>
      </c>
      <c r="B6" s="17" t="s">
        <v>262</v>
      </c>
      <c r="C6" s="13"/>
      <c r="D6" s="13"/>
      <c r="E6" s="13"/>
      <c r="F6" s="13"/>
      <c r="G6" s="13"/>
      <c r="H6" s="13"/>
      <c r="I6" s="13"/>
      <c r="J6" s="13"/>
      <c r="K6" s="13"/>
      <c r="L6" s="13"/>
      <c r="M6" s="13"/>
      <c r="N6" s="13"/>
      <c r="O6" s="13"/>
      <c r="P6" s="13"/>
      <c r="Q6" s="13"/>
      <c r="R6" s="13"/>
      <c r="S6" s="13"/>
      <c r="T6" s="13"/>
      <c r="U6" s="13"/>
      <c r="V6" s="13"/>
      <c r="W6" s="13"/>
      <c r="X6" s="13"/>
      <c r="Y6" s="13"/>
    </row>
    <row r="7">
      <c r="A7" s="29" t="s">
        <v>263</v>
      </c>
      <c r="B7" s="17" t="s">
        <v>264</v>
      </c>
      <c r="C7" s="13"/>
      <c r="D7" s="13"/>
      <c r="E7" s="13"/>
      <c r="F7" s="13"/>
      <c r="G7" s="13"/>
      <c r="H7" s="13"/>
      <c r="I7" s="13"/>
      <c r="J7" s="13"/>
      <c r="K7" s="13"/>
      <c r="L7" s="13"/>
      <c r="M7" s="13"/>
      <c r="N7" s="13"/>
      <c r="O7" s="13"/>
      <c r="P7" s="13"/>
      <c r="Q7" s="13"/>
      <c r="R7" s="13"/>
      <c r="S7" s="13"/>
      <c r="T7" s="13"/>
      <c r="U7" s="13"/>
      <c r="V7" s="13"/>
      <c r="W7" s="13"/>
      <c r="X7" s="13"/>
      <c r="Y7" s="13"/>
    </row>
    <row r="8">
      <c r="A8" s="28" t="s">
        <v>265</v>
      </c>
      <c r="B8" s="14" t="s">
        <v>266</v>
      </c>
      <c r="C8" s="13"/>
      <c r="D8" s="13"/>
      <c r="E8" s="13"/>
      <c r="F8" s="13"/>
      <c r="G8" s="13"/>
      <c r="H8" s="13"/>
      <c r="I8" s="13"/>
      <c r="J8" s="13"/>
      <c r="K8" s="13"/>
      <c r="L8" s="13"/>
      <c r="M8" s="13"/>
      <c r="N8" s="13"/>
      <c r="O8" s="13"/>
      <c r="P8" s="13"/>
      <c r="Q8" s="13"/>
      <c r="R8" s="13"/>
      <c r="S8" s="13"/>
      <c r="T8" s="13"/>
      <c r="U8" s="13"/>
      <c r="V8" s="13"/>
      <c r="W8" s="13"/>
      <c r="X8" s="13"/>
      <c r="Y8" s="13"/>
    </row>
    <row r="9">
      <c r="C9" s="13"/>
      <c r="D9" s="13"/>
      <c r="E9" s="13"/>
      <c r="F9" s="13"/>
      <c r="G9" s="13"/>
      <c r="H9" s="13"/>
      <c r="I9" s="13"/>
      <c r="J9" s="13"/>
      <c r="K9" s="13"/>
      <c r="L9" s="13"/>
      <c r="M9" s="13"/>
      <c r="N9" s="13"/>
      <c r="O9" s="13"/>
      <c r="P9" s="13"/>
      <c r="Q9" s="13"/>
      <c r="R9" s="13"/>
      <c r="S9" s="13"/>
      <c r="T9" s="13"/>
      <c r="U9" s="13"/>
      <c r="V9" s="13"/>
      <c r="W9" s="13"/>
      <c r="X9" s="13"/>
      <c r="Y9" s="13"/>
    </row>
    <row r="10">
      <c r="C10" s="13"/>
      <c r="D10" s="13"/>
      <c r="E10" s="13"/>
      <c r="F10" s="13"/>
      <c r="G10" s="13"/>
      <c r="H10" s="13"/>
      <c r="I10" s="13"/>
      <c r="J10" s="13"/>
      <c r="K10" s="13"/>
      <c r="L10" s="13"/>
      <c r="M10" s="13"/>
      <c r="N10" s="13"/>
      <c r="O10" s="13"/>
      <c r="P10" s="13"/>
      <c r="Q10" s="13"/>
      <c r="R10" s="13"/>
      <c r="S10" s="13"/>
      <c r="T10" s="13"/>
      <c r="U10" s="13"/>
      <c r="V10" s="13"/>
      <c r="W10" s="13"/>
      <c r="X10" s="13"/>
      <c r="Y10" s="13"/>
    </row>
    <row r="11">
      <c r="C11" s="13"/>
      <c r="D11" s="13"/>
      <c r="E11" s="13"/>
      <c r="F11" s="13"/>
      <c r="G11" s="13"/>
      <c r="H11" s="13"/>
      <c r="I11" s="13"/>
      <c r="J11" s="13"/>
      <c r="K11" s="13"/>
      <c r="L11" s="13"/>
      <c r="M11" s="13"/>
      <c r="N11" s="13"/>
      <c r="O11" s="13"/>
      <c r="P11" s="13"/>
      <c r="Q11" s="13"/>
      <c r="R11" s="13"/>
      <c r="S11" s="13"/>
      <c r="T11" s="13"/>
      <c r="U11" s="13"/>
      <c r="V11" s="13"/>
      <c r="W11" s="13"/>
      <c r="X11" s="13"/>
      <c r="Y11" s="13"/>
    </row>
    <row r="12">
      <c r="C12" s="13"/>
      <c r="D12" s="13"/>
      <c r="E12" s="13"/>
      <c r="F12" s="13"/>
      <c r="G12" s="13"/>
      <c r="H12" s="13"/>
      <c r="I12" s="13"/>
      <c r="J12" s="13"/>
      <c r="K12" s="13"/>
      <c r="L12" s="13"/>
      <c r="M12" s="13"/>
      <c r="N12" s="13"/>
      <c r="O12" s="13"/>
      <c r="P12" s="13"/>
      <c r="Q12" s="13"/>
      <c r="R12" s="13"/>
      <c r="S12" s="13"/>
      <c r="T12" s="13"/>
      <c r="U12" s="13"/>
      <c r="V12" s="13"/>
      <c r="W12" s="13"/>
      <c r="X12" s="13"/>
      <c r="Y12" s="13"/>
    </row>
    <row r="13">
      <c r="B13" s="13"/>
      <c r="C13" s="13"/>
      <c r="D13" s="13"/>
      <c r="E13" s="13"/>
      <c r="F13" s="13"/>
      <c r="G13" s="13"/>
      <c r="H13" s="13"/>
      <c r="I13" s="13"/>
      <c r="J13" s="13"/>
      <c r="K13" s="13"/>
      <c r="L13" s="13"/>
      <c r="M13" s="13"/>
      <c r="N13" s="13"/>
      <c r="O13" s="13"/>
      <c r="P13" s="13"/>
      <c r="Q13" s="13"/>
      <c r="R13" s="13"/>
      <c r="S13" s="13"/>
      <c r="T13" s="13"/>
      <c r="U13" s="13"/>
      <c r="V13" s="13"/>
      <c r="W13" s="13"/>
      <c r="X13" s="13"/>
      <c r="Y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row>
    <row r="16">
      <c r="A16" s="31"/>
      <c r="B16" s="13"/>
      <c r="C16" s="13"/>
      <c r="D16" s="13"/>
      <c r="E16" s="13"/>
      <c r="F16" s="13"/>
      <c r="G16" s="13"/>
      <c r="H16" s="13"/>
      <c r="I16" s="13"/>
      <c r="J16" s="13"/>
      <c r="K16" s="13"/>
      <c r="L16" s="13"/>
      <c r="M16" s="13"/>
      <c r="N16" s="13"/>
      <c r="O16" s="13"/>
      <c r="P16" s="13"/>
      <c r="Q16" s="13"/>
      <c r="R16" s="13"/>
      <c r="S16" s="13"/>
      <c r="T16" s="13"/>
      <c r="U16" s="13"/>
      <c r="V16" s="13"/>
      <c r="W16" s="13"/>
      <c r="X16" s="13"/>
      <c r="Y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row>
  </sheetData>
  <mergeCells count="2">
    <mergeCell ref="B8:B12"/>
    <mergeCell ref="A8:A13"/>
  </mergeCells>
  <drawing r:id="rId1"/>
</worksheet>
</file>